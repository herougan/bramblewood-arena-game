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lan" sheetId="1" state="visible" r:id="rId1"/>
    <sheet xmlns:r="http://schemas.openxmlformats.org/officeDocument/2006/relationships" name="Skill curriculum" sheetId="2" state="visible" r:id="rId2"/>
    <sheet xmlns:r="http://schemas.openxmlformats.org/officeDocument/2006/relationships" name="Skill N values" sheetId="3" state="visible" r:id="rId3"/>
    <sheet xmlns:r="http://schemas.openxmlformats.org/officeDocument/2006/relationships" name="Factions &amp; regions" sheetId="4" state="visible" r:id="rId4"/>
    <sheet xmlns:r="http://schemas.openxmlformats.org/officeDocument/2006/relationships" name="Animal types" sheetId="5" state="visible" r:id="rId5"/>
    <sheet xmlns:r="http://schemas.openxmlformats.org/officeDocument/2006/relationships" name="Packs" sheetId="6" state="visible" r:id="rId6"/>
    <sheet xmlns:r="http://schemas.openxmlformats.org/officeDocument/2006/relationships" name="New cards" sheetId="7" state="visible" r:id="rId7"/>
    <sheet xmlns:r="http://schemas.openxmlformats.org/officeDocument/2006/relationships" name="Group counts" sheetId="8" state="visible" r:id="rId8"/>
    <sheet xmlns:r="http://schemas.openxmlformats.org/officeDocument/2006/relationships" name="Flora" sheetId="9" state="visible" r:id="rId9"/>
  </sheets>
  <definedNames>
    <definedName name="_xlnm._FilterDatabase" localSheetId="0" hidden="1">'Plan'!$A$1:$Q$554</definedName>
    <definedName name="_xlnm._FilterDatabase" localSheetId="2" hidden="1">'Skill N values'!$A$16:$J$256</definedName>
    <definedName name="_xlnm._FilterDatabase" localSheetId="5" hidden="1">'Packs'!$A$11:$G$118</definedName>
  </definedNames>
  <calcPr calcId="124519" fullCalcOnLoad="1" refMode="A1" iterate="0" iterateCount="100" iterateDelta="0.0001"/>
</workbook>
</file>

<file path=xl/styles.xml><?xml version="1.0" encoding="utf-8"?>
<styleSheet xmlns="http://schemas.openxmlformats.org/spreadsheetml/2006/main">
  <numFmts count="0"/>
  <fonts count="2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b val="1"/>
      <sz val="10"/>
    </font>
    <font>
      <name val="Arial"/>
      <charset val="1"/>
      <family val="0"/>
      <sz val="11"/>
    </font>
    <font>
      <name val="Arial"/>
      <charset val="1"/>
      <family val="0"/>
      <b val="1"/>
      <color rgb="FF2F4A2B"/>
      <sz val="14"/>
    </font>
    <font>
      <name val="Arial"/>
      <charset val="1"/>
      <family val="0"/>
      <i val="1"/>
      <color rgb="FF555555"/>
      <sz val="9"/>
    </font>
    <font>
      <name val="Arial"/>
      <charset val="1"/>
      <family val="0"/>
      <b val="1"/>
      <sz val="14"/>
    </font>
    <font>
      <name val="Arial"/>
      <charset val="1"/>
      <family val="0"/>
      <i val="1"/>
      <color rgb="FF555555"/>
      <sz val="11"/>
    </font>
    <font>
      <name val="Arial"/>
      <charset val="1"/>
      <family val="0"/>
      <i val="1"/>
      <color rgb="FF777777"/>
      <sz val="11"/>
    </font>
    <font>
      <name val="Arial"/>
      <charset val="1"/>
      <family val="0"/>
      <i val="1"/>
      <color rgb="FF0000FF"/>
      <sz val="11"/>
    </font>
    <font>
      <name val="Arial"/>
      <charset val="1"/>
      <family val="0"/>
      <b val="1"/>
      <sz val="12"/>
    </font>
    <font>
      <name val="Arial"/>
      <charset val="1"/>
      <family val="0"/>
      <b val="1"/>
      <sz val="11"/>
    </font>
    <font>
      <name val="Arial"/>
      <charset val="1"/>
      <family val="0"/>
      <b val="1"/>
      <color rgb="FFFFFFFF"/>
      <sz val="11"/>
    </font>
    <font>
      <name val="Arial"/>
      <charset val="1"/>
      <family val="0"/>
      <color rgb="FF0000FF"/>
      <sz val="11"/>
    </font>
    <font>
      <name val="Noto Sans CJK SC"/>
      <charset val="1"/>
      <family val="2"/>
      <sz val="11"/>
    </font>
    <font>
      <name val="Noto Sans CJK SC"/>
      <family val="2"/>
      <sz val="11"/>
    </font>
    <font>
      <name val="Arial"/>
      <b val="1"/>
      <color rgb="00FFFFFF"/>
    </font>
    <font>
      <name val="Arial"/>
    </font>
    <font>
      <name val="Arial"/>
      <b val="1"/>
      <sz val="14"/>
    </font>
    <font>
      <name val="Arial"/>
      <i val="1"/>
      <color rgb="00555555"/>
    </font>
    <font>
      <name val="Arial"/>
      <b val="1"/>
    </font>
    <font>
      <name val="Arial"/>
      <b val="1"/>
      <sz val="12"/>
    </font>
    <font>
      <name val="Arial"/>
      <i val="1"/>
      <color rgb="00777777"/>
    </font>
    <font>
      <name val="Arial"/>
      <i val="1"/>
      <color rgb="000000FF"/>
    </font>
    <font>
      <name val="Arial"/>
      <color rgb="000000FF"/>
    </font>
  </fonts>
  <fills count="12">
    <fill>
      <patternFill/>
    </fill>
    <fill>
      <patternFill patternType="gray125"/>
    </fill>
    <fill>
      <patternFill patternType="solid">
        <fgColor rgb="FF3E5B3A"/>
        <bgColor rgb="FF4A5D23"/>
      </patternFill>
    </fill>
    <fill>
      <patternFill patternType="solid">
        <fgColor rgb="FFEEF3EA"/>
        <bgColor rgb="FFEEEEEE"/>
      </patternFill>
    </fill>
    <fill>
      <patternFill patternType="solid">
        <fgColor rgb="FFFFF2CC"/>
        <bgColor rgb="FFFFF4D6"/>
      </patternFill>
    </fill>
    <fill>
      <patternFill patternType="solid">
        <fgColor rgb="FFFFFFFF"/>
        <bgColor rgb="FFEEF3EA"/>
      </patternFill>
    </fill>
    <fill>
      <patternFill patternType="solid">
        <fgColor rgb="FFFFF4D6"/>
        <bgColor rgb="FFFFF2CC"/>
      </patternFill>
    </fill>
    <fill>
      <patternFill patternType="solid">
        <fgColor rgb="FFEEEEEE"/>
        <bgColor rgb="FFEEF3EA"/>
      </patternFill>
    </fill>
    <fill>
      <patternFill patternType="solid">
        <fgColor rgb="FF4A5D23"/>
        <bgColor rgb="FF3E5B3A"/>
      </patternFill>
    </fill>
    <fill>
      <patternFill patternType="solid">
        <fgColor rgb="003E5B3A"/>
      </patternFill>
    </fill>
    <fill>
      <patternFill patternType="solid">
        <fgColor rgb="00EEEEEE"/>
      </patternFill>
    </fill>
    <fill>
      <patternFill patternType="solid">
        <fgColor rgb="00FFF2CC"/>
      </patternFill>
    </fill>
  </fills>
  <borders count="2">
    <border>
      <left/>
      <right/>
      <top/>
      <bottom/>
      <diagonal/>
    </border>
    <border>
      <left/>
      <right/>
      <top/>
      <bottom style="thin">
        <color rgb="FFC8D3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3" borderId="1" applyAlignment="1" pivotButton="0" quotePrefix="0" xfId="0">
      <alignment horizontal="general" vertical="top"/>
    </xf>
    <xf numFmtId="0" fontId="5" fillId="3" borderId="1" applyAlignment="1" pivotButton="0" quotePrefix="0" xfId="0">
      <alignment horizontal="general" vertical="top" wrapText="1"/>
    </xf>
    <xf numFmtId="0" fontId="5" fillId="4" borderId="1" applyAlignment="1" pivotButton="0" quotePrefix="0" xfId="0">
      <alignment horizontal="general" vertical="top"/>
    </xf>
    <xf numFmtId="0" fontId="5" fillId="5" borderId="1" applyAlignment="1" pivotButton="0" quotePrefix="0" xfId="0">
      <alignment horizontal="general" vertical="top"/>
    </xf>
    <xf numFmtId="0" fontId="5" fillId="5" borderId="1" applyAlignment="1" pivotButton="0" quotePrefix="0" xfId="0">
      <alignment horizontal="general" vertical="top" wrapText="1"/>
    </xf>
    <xf numFmtId="0" fontId="6" fillId="3" borderId="1" applyAlignment="1" pivotButton="0" quotePrefix="0" xfId="0">
      <alignment horizontal="general" vertical="top"/>
    </xf>
    <xf numFmtId="0" fontId="6" fillId="5" borderId="1" applyAlignment="1" pivotButton="0" quotePrefix="0" xfId="0">
      <alignment horizontal="general" vertical="top"/>
    </xf>
    <xf numFmtId="0" fontId="7" fillId="6"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10" fillId="0" borderId="0" applyAlignment="1" pivotButton="0" quotePrefix="0" xfId="0">
      <alignment horizontal="general" vertical="bottom"/>
    </xf>
    <xf numFmtId="0" fontId="7" fillId="0" borderId="0" applyAlignment="1" pivotButton="0" quotePrefix="0" xfId="0">
      <alignment horizontal="general" vertical="bottom"/>
    </xf>
    <xf numFmtId="0" fontId="11" fillId="0" borderId="0" applyAlignment="1" pivotButton="0" quotePrefix="0" xfId="0">
      <alignment horizontal="general" vertical="bottom"/>
    </xf>
    <xf numFmtId="0" fontId="12" fillId="7" borderId="0" applyAlignment="1" pivotButton="0" quotePrefix="0" xfId="0">
      <alignment horizontal="general" vertical="bottom"/>
    </xf>
    <xf numFmtId="0" fontId="13" fillId="4" borderId="0" applyAlignment="1" pivotButton="0" quotePrefix="0" xfId="0">
      <alignment horizontal="general" vertical="bottom"/>
    </xf>
    <xf numFmtId="0" fontId="14" fillId="7" borderId="0" applyAlignment="1" pivotButton="0" quotePrefix="0" xfId="0">
      <alignment horizontal="general" vertical="bottom"/>
    </xf>
    <xf numFmtId="0" fontId="15" fillId="7" borderId="0" applyAlignment="1" pivotButton="0" quotePrefix="0" xfId="0">
      <alignment horizontal="general" vertical="bottom"/>
    </xf>
    <xf numFmtId="0" fontId="1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17" fillId="4" borderId="0" applyAlignment="1" pivotButton="0" quotePrefix="0" xfId="0">
      <alignment horizontal="general" vertical="bottom"/>
    </xf>
    <xf numFmtId="0" fontId="18" fillId="0" borderId="0" applyAlignment="1" pivotButton="0" quotePrefix="0" xfId="0">
      <alignment horizontal="general" vertical="bottom"/>
    </xf>
    <xf numFmtId="0" fontId="16" fillId="2" borderId="0" applyAlignment="1" pivotButton="0" quotePrefix="0" xfId="0">
      <alignment horizontal="general" vertical="bottom"/>
    </xf>
    <xf numFmtId="0" fontId="18" fillId="0" borderId="0" applyAlignment="1" pivotButton="0" quotePrefix="0" xfId="0">
      <alignment horizontal="general" vertical="top" wrapText="1"/>
    </xf>
    <xf numFmtId="0" fontId="14" fillId="0" borderId="0" applyAlignment="1" pivotButton="0" quotePrefix="0" xfId="0">
      <alignment horizontal="general" vertical="bottom"/>
    </xf>
    <xf numFmtId="9" fontId="7" fillId="0" borderId="0" applyAlignment="1" pivotButton="0" quotePrefix="0" xfId="0">
      <alignment horizontal="general" vertical="bottom"/>
    </xf>
    <xf numFmtId="0" fontId="1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9"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4" borderId="0" applyAlignment="1" pivotButton="0" quotePrefix="0" xfId="0">
      <alignment horizontal="general" vertical="top" wrapText="1"/>
    </xf>
    <xf numFmtId="0" fontId="10" fillId="0" borderId="0" applyAlignment="1" pivotButton="0" quotePrefix="0" xfId="0">
      <alignment horizontal="general" vertical="bottom"/>
    </xf>
    <xf numFmtId="0" fontId="16" fillId="8"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3" borderId="1" applyAlignment="1" pivotButton="0" quotePrefix="0" xfId="0">
      <alignment horizontal="general" vertical="top"/>
    </xf>
    <xf numFmtId="0" fontId="5" fillId="3" borderId="1" applyAlignment="1" pivotButton="0" quotePrefix="0" xfId="0">
      <alignment horizontal="general" vertical="top" wrapText="1"/>
    </xf>
    <xf numFmtId="0" fontId="5" fillId="4" borderId="1" applyAlignment="1" pivotButton="0" quotePrefix="0" xfId="0">
      <alignment horizontal="general" vertical="top"/>
    </xf>
    <xf numFmtId="0" fontId="5" fillId="5" borderId="1" applyAlignment="1" pivotButton="0" quotePrefix="0" xfId="0">
      <alignment horizontal="general" vertical="top"/>
    </xf>
    <xf numFmtId="0" fontId="5" fillId="5" borderId="1" applyAlignment="1" pivotButton="0" quotePrefix="0" xfId="0">
      <alignment horizontal="general" vertical="top" wrapText="1"/>
    </xf>
    <xf numFmtId="0" fontId="6" fillId="3" borderId="1" applyAlignment="1" pivotButton="0" quotePrefix="0" xfId="0">
      <alignment horizontal="general" vertical="top"/>
    </xf>
    <xf numFmtId="0" fontId="6" fillId="5" borderId="1" applyAlignment="1" pivotButton="0" quotePrefix="0" xfId="0">
      <alignment horizontal="general" vertical="top"/>
    </xf>
    <xf numFmtId="0" fontId="7" fillId="6"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10" fillId="0" borderId="0" applyAlignment="1" pivotButton="0" quotePrefix="0" xfId="0">
      <alignment horizontal="general" vertical="bottom"/>
    </xf>
    <xf numFmtId="0" fontId="7" fillId="0" borderId="0" applyAlignment="1" pivotButton="0" quotePrefix="0" xfId="0">
      <alignment horizontal="general" vertical="bottom"/>
    </xf>
    <xf numFmtId="0" fontId="11" fillId="0" borderId="0" applyAlignment="1" pivotButton="0" quotePrefix="0" xfId="0">
      <alignment horizontal="general" vertical="bottom"/>
    </xf>
    <xf numFmtId="0" fontId="12" fillId="7" borderId="0" applyAlignment="1" pivotButton="0" quotePrefix="0" xfId="0">
      <alignment horizontal="general" vertical="bottom"/>
    </xf>
    <xf numFmtId="0" fontId="13" fillId="4" borderId="0" applyAlignment="1" pivotButton="0" quotePrefix="0" xfId="0">
      <alignment horizontal="general" vertical="bottom"/>
    </xf>
    <xf numFmtId="0" fontId="14" fillId="7" borderId="0" applyAlignment="1" pivotButton="0" quotePrefix="0" xfId="0">
      <alignment horizontal="general" vertical="bottom"/>
    </xf>
    <xf numFmtId="0" fontId="15" fillId="7" borderId="0" applyAlignment="1" pivotButton="0" quotePrefix="0" xfId="0">
      <alignment horizontal="general" vertical="bottom"/>
    </xf>
    <xf numFmtId="0" fontId="1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17" fillId="4" borderId="0" applyAlignment="1" pivotButton="0" quotePrefix="0" xfId="0">
      <alignment horizontal="general" vertical="bottom"/>
    </xf>
    <xf numFmtId="0" fontId="18" fillId="0" borderId="0" applyAlignment="1" pivotButton="0" quotePrefix="0" xfId="0">
      <alignment horizontal="general" vertical="bottom"/>
    </xf>
    <xf numFmtId="0" fontId="16" fillId="2" borderId="0" applyAlignment="1" pivotButton="0" quotePrefix="0" xfId="0">
      <alignment horizontal="general" vertical="bottom"/>
    </xf>
    <xf numFmtId="0" fontId="18" fillId="0" borderId="0" applyAlignment="1" pivotButton="0" quotePrefix="0" xfId="0">
      <alignment horizontal="general" vertical="top" wrapText="1"/>
    </xf>
    <xf numFmtId="0" fontId="14" fillId="0" borderId="0" applyAlignment="1" pivotButton="0" quotePrefix="0" xfId="0">
      <alignment horizontal="general" vertical="bottom"/>
    </xf>
    <xf numFmtId="9" fontId="7" fillId="0" borderId="0" applyAlignment="1" pivotButton="0" quotePrefix="0" xfId="0">
      <alignment horizontal="general" vertical="bottom"/>
    </xf>
    <xf numFmtId="0" fontId="1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9"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4" borderId="0" applyAlignment="1" pivotButton="0" quotePrefix="0" xfId="0">
      <alignment horizontal="general" vertical="top" wrapText="1"/>
    </xf>
    <xf numFmtId="0" fontId="16" fillId="8" borderId="0" applyAlignment="1" pivotButton="0" quotePrefix="0" xfId="0">
      <alignment horizontal="general" vertical="bottom"/>
    </xf>
    <xf numFmtId="0" fontId="22" fillId="0" borderId="0" pivotButton="0" quotePrefix="0" xfId="0"/>
    <xf numFmtId="0" fontId="21" fillId="0" borderId="0" pivotButton="0" quotePrefix="0" xfId="0"/>
    <xf numFmtId="0" fontId="23" fillId="0" borderId="0" pivotButton="0" quotePrefix="0" xfId="0"/>
    <xf numFmtId="0" fontId="26" fillId="10" borderId="0" pivotButton="0" quotePrefix="0" xfId="0"/>
    <xf numFmtId="0" fontId="27" fillId="11" borderId="0" pivotButton="0" quotePrefix="0" xfId="0"/>
    <xf numFmtId="0" fontId="25" fillId="10" borderId="0" pivotButton="0" quotePrefix="0" xfId="0"/>
    <xf numFmtId="0" fontId="24" fillId="10" borderId="0" pivotButton="0" quotePrefix="0" xfId="0"/>
    <xf numFmtId="0" fontId="20" fillId="9" borderId="0" applyAlignment="1" pivotButton="0" quotePrefix="0" xfId="0">
      <alignment vertical="top" wrapText="1"/>
    </xf>
    <xf numFmtId="0" fontId="21" fillId="0" borderId="0" applyAlignment="1" pivotButton="0" quotePrefix="0" xfId="0">
      <alignment vertical="top" wrapText="1"/>
    </xf>
    <xf numFmtId="0" fontId="28" fillId="11" borderId="0" pivotButton="0" quotePrefix="0" xfId="0"/>
    <xf numFmtId="0" fontId="20" fillId="9" borderId="0" pivotButton="0" quotePrefix="0" xfId="0"/>
    <xf numFmtId="0" fontId="25" fillId="0" borderId="0" pivotButton="0" quotePrefix="0" xfId="0"/>
    <xf numFmtId="9" fontId="21" fillId="0" borderId="0" pivotButton="0" quotePrefix="0" xfId="0"/>
    <xf numFmtId="0" fontId="24"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3E5B3A"/>
          <bgColor rgb="FF000000"/>
        </patternFill>
      </fill>
    </dxf>
    <dxf>
      <fill>
        <patternFill patternType="solid">
          <fgColor rgb="FFEEF3EA"/>
          <bgColor rgb="FF000000"/>
        </patternFill>
      </fill>
    </dxf>
    <dxf>
      <fill>
        <patternFill patternType="solid">
          <fgColor rgb="FFFFFFFF"/>
          <bgColor rgb="FF000000"/>
        </patternFill>
      </fill>
    </dxf>
    <dxf>
      <fill>
        <patternFill patternType="solid">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D3C2"/>
      <rgbColor rgb="FF777777"/>
      <rgbColor rgb="FF9999FF"/>
      <rgbColor rgb="FF993366"/>
      <rgbColor rgb="FFFFF4D6"/>
      <rgbColor rgb="FFEEF3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EEEE"/>
      <rgbColor rgb="FFCCFFCC"/>
      <rgbColor rgb="FFFFF2CC"/>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4A5D23"/>
      <rgbColor rgb="FF993300"/>
      <rgbColor rgb="FF993366"/>
      <rgbColor rgb="FF3E5B3A"/>
      <rgbColor rgb="FF2F4A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Q577"/>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8" min="1" max="1"/>
    <col width="9" customWidth="1" style="38" min="2" max="2"/>
    <col width="26" customWidth="1" style="38" min="3" max="4"/>
    <col width="7" customWidth="1" style="38" min="5" max="5"/>
    <col width="10" customWidth="1" style="38" min="6" max="6"/>
    <col width="8" customWidth="1" style="38" min="7" max="7"/>
    <col width="7" customWidth="1" style="38" min="8" max="8"/>
    <col width="8" customWidth="1" style="38" min="9" max="10"/>
    <col width="34" customWidth="1" style="38" min="11" max="11"/>
    <col width="22" customWidth="1" style="38" min="12" max="12"/>
    <col width="24" customWidth="1" style="38" min="13" max="13"/>
    <col width="20" customWidth="1" style="38" min="14" max="14"/>
    <col width="22" customWidth="1" style="38" min="15" max="15"/>
    <col width="52" customWidth="1" style="38" min="16" max="16"/>
    <col width="14" customWidth="1" style="38" min="17" max="17"/>
  </cols>
  <sheetData>
    <row r="1" ht="30" customHeight="1" s="39">
      <c r="A1" s="40" t="inlineStr">
        <is>
          <t>Group</t>
        </is>
      </c>
      <c r="B1" s="40" t="inlineStr">
        <is>
          <t>Map no.</t>
        </is>
      </c>
      <c r="C1" s="40" t="inlineStr">
        <is>
          <t>Name</t>
        </is>
      </c>
      <c r="D1" s="40" t="inlineStr">
        <is>
          <t>ID</t>
        </is>
      </c>
      <c r="E1" s="40" t="inlineStr">
        <is>
          <t>New?</t>
        </is>
      </c>
      <c r="F1" s="40" t="inlineStr">
        <is>
          <t>Rarity</t>
        </is>
      </c>
      <c r="G1" s="40" t="inlineStr">
        <is>
          <t>Lumber</t>
        </is>
      </c>
      <c r="H1" s="40" t="inlineStr">
        <is>
          <t>Wait</t>
        </is>
      </c>
      <c r="I1" s="40" t="inlineStr">
        <is>
          <t>Attack</t>
        </is>
      </c>
      <c r="J1" s="40" t="inlineStr">
        <is>
          <t>Health</t>
        </is>
      </c>
      <c r="K1" s="40" t="inlineStr">
        <is>
          <t>Skills</t>
        </is>
      </c>
      <c r="L1" s="40" t="inlineStr">
        <is>
          <t>Skill taught here?</t>
        </is>
      </c>
      <c r="M1" s="40" t="inlineStr">
        <is>
          <t>Species (family)</t>
        </is>
      </c>
      <c r="N1" s="40" t="inlineStr">
        <is>
          <t>Animal type</t>
        </is>
      </c>
      <c r="O1" s="40" t="inlineStr">
        <is>
          <t>Biome</t>
        </is>
      </c>
      <c r="P1" s="40" t="inlineStr">
        <is>
          <t>Notes</t>
        </is>
      </c>
      <c r="Q1" s="40" t="inlineStr">
        <is>
          <t>Role</t>
        </is>
      </c>
    </row>
    <row r="2" ht="15" customHeight="1" s="39">
      <c r="A2" s="41" t="inlineStr">
        <is>
          <t>Base</t>
        </is>
      </c>
      <c r="B2" s="41" t="n"/>
      <c r="C2" s="41" t="inlineStr">
        <is>
          <t>Ant Scout</t>
        </is>
      </c>
      <c r="D2" s="41" t="inlineStr">
        <is>
          <t>ant-scout</t>
        </is>
      </c>
      <c r="E2" s="41" t="n"/>
      <c r="F2" s="41" t="inlineStr">
        <is>
          <t>Starter</t>
        </is>
      </c>
      <c r="G2" s="41" t="n">
        <v>0</v>
      </c>
      <c r="H2" s="41" t="n">
        <v>1</v>
      </c>
      <c r="I2" s="41" t="n">
        <v>2</v>
      </c>
      <c r="J2" s="41" t="n">
        <v>6</v>
      </c>
      <c r="K2" s="42" t="inlineStr">
        <is>
          <t>Swarm</t>
        </is>
      </c>
      <c r="L2" s="41" t="n"/>
      <c r="M2" s="41" t="inlineStr">
        <is>
          <t>Insect (Arthropod)</t>
        </is>
      </c>
      <c r="N2" s="41" t="inlineStr">
        <is>
          <t>Ant &amp; Termite</t>
        </is>
      </c>
      <c r="O2" s="41" t="inlineStr">
        <is>
          <t>Any</t>
        </is>
      </c>
      <c r="P2" s="42" t="inlineStr">
        <is>
          <t>Critter starter</t>
        </is>
      </c>
      <c r="Q2" s="41" t="inlineStr">
        <is>
          <t>Base</t>
        </is>
      </c>
    </row>
    <row r="3" ht="15" customHeight="1" s="39">
      <c r="A3" s="41" t="inlineStr">
        <is>
          <t>Base</t>
        </is>
      </c>
      <c r="B3" s="41" t="n"/>
      <c r="C3" s="41" t="inlineStr">
        <is>
          <t>Tunnel Ant</t>
        </is>
      </c>
      <c r="D3" s="41" t="inlineStr">
        <is>
          <t>tunnel-ant</t>
        </is>
      </c>
      <c r="E3" s="41" t="n"/>
      <c r="F3" s="41" t="inlineStr">
        <is>
          <t>Starter</t>
        </is>
      </c>
      <c r="G3" s="41" t="n">
        <v>0</v>
      </c>
      <c r="H3" s="41" t="n">
        <v>0</v>
      </c>
      <c r="I3" s="41" t="n">
        <v>1</v>
      </c>
      <c r="J3" s="41" t="n">
        <v>4</v>
      </c>
      <c r="K3" s="42" t="inlineStr">
        <is>
          <t>Swarm</t>
        </is>
      </c>
      <c r="L3" s="41" t="n"/>
      <c r="M3" s="41" t="inlineStr">
        <is>
          <t>Insect (Arthropod)</t>
        </is>
      </c>
      <c r="N3" s="41" t="inlineStr">
        <is>
          <t>Ant &amp; Termite</t>
        </is>
      </c>
      <c r="O3" s="41" t="inlineStr">
        <is>
          <t>Any</t>
        </is>
      </c>
      <c r="P3" s="42" t="inlineStr">
        <is>
          <t>Critter starter</t>
        </is>
      </c>
      <c r="Q3" s="41" t="inlineStr">
        <is>
          <t>Base</t>
        </is>
      </c>
    </row>
    <row r="4" ht="15" customHeight="1" s="39">
      <c r="A4" s="41" t="inlineStr">
        <is>
          <t>Base</t>
        </is>
      </c>
      <c r="B4" s="41" t="n"/>
      <c r="C4" s="41" t="inlineStr">
        <is>
          <t>Worker Ant</t>
        </is>
      </c>
      <c r="D4" s="41" t="inlineStr">
        <is>
          <t>worker-ant</t>
        </is>
      </c>
      <c r="E4" s="41" t="n"/>
      <c r="F4" s="41" t="inlineStr">
        <is>
          <t>Starter</t>
        </is>
      </c>
      <c r="G4" s="41" t="n">
        <v>0</v>
      </c>
      <c r="H4" s="41" t="n">
        <v>0</v>
      </c>
      <c r="I4" s="41" t="n">
        <v>1</v>
      </c>
      <c r="J4" s="41" t="n">
        <v>3</v>
      </c>
      <c r="K4" s="42" t="inlineStr">
        <is>
          <t>Swarm, Hive Mind</t>
        </is>
      </c>
      <c r="L4" s="41" t="n"/>
      <c r="M4" s="41" t="inlineStr">
        <is>
          <t>Insect (Arthropod)</t>
        </is>
      </c>
      <c r="N4" s="41" t="inlineStr">
        <is>
          <t>Ant &amp; Termite</t>
        </is>
      </c>
      <c r="O4" s="41" t="inlineStr">
        <is>
          <t>Any</t>
        </is>
      </c>
      <c r="P4" s="42" t="inlineStr">
        <is>
          <t>Critter starter</t>
        </is>
      </c>
      <c r="Q4" s="41" t="inlineStr">
        <is>
          <t>Base</t>
        </is>
      </c>
    </row>
    <row r="5" ht="15" customHeight="1" s="39">
      <c r="A5" s="41" t="inlineStr">
        <is>
          <t>Base</t>
        </is>
      </c>
      <c r="B5" s="41" t="n"/>
      <c r="C5" s="41" t="inlineStr">
        <is>
          <t>Forager Ant</t>
        </is>
      </c>
      <c r="D5" s="41" t="inlineStr">
        <is>
          <t>forager-ant</t>
        </is>
      </c>
      <c r="E5" s="41" t="n"/>
      <c r="F5" s="41" t="inlineStr">
        <is>
          <t>Common</t>
        </is>
      </c>
      <c r="G5" s="41" t="n">
        <v>0</v>
      </c>
      <c r="H5" s="41" t="n">
        <v>0</v>
      </c>
      <c r="I5" s="41" t="n">
        <v>1</v>
      </c>
      <c r="J5" s="41" t="n">
        <v>4</v>
      </c>
      <c r="K5" s="42" t="inlineStr">
        <is>
          <t>Swarm, Hive Mind</t>
        </is>
      </c>
      <c r="L5" s="41" t="n"/>
      <c r="M5" s="41" t="inlineStr">
        <is>
          <t>Insect (Arthropod)</t>
        </is>
      </c>
      <c r="N5" s="41" t="inlineStr">
        <is>
          <t>Ant &amp; Termite</t>
        </is>
      </c>
      <c r="O5" s="41" t="inlineStr">
        <is>
          <t>Any</t>
        </is>
      </c>
      <c r="P5" s="42" t="inlineStr">
        <is>
          <t>Shared basic set</t>
        </is>
      </c>
      <c r="Q5" s="41" t="inlineStr">
        <is>
          <t>Base</t>
        </is>
      </c>
    </row>
    <row r="6" ht="15" customHeight="1" s="39">
      <c r="A6" s="41" t="inlineStr">
        <is>
          <t>Base</t>
        </is>
      </c>
      <c r="B6" s="41" t="n"/>
      <c r="C6" s="41" t="inlineStr">
        <is>
          <t>Howler Monkey</t>
        </is>
      </c>
      <c r="D6" s="41" t="inlineStr">
        <is>
          <t>howler-monkey</t>
        </is>
      </c>
      <c r="E6" s="41" t="n"/>
      <c r="F6" s="41" t="inlineStr">
        <is>
          <t>Uncommon</t>
        </is>
      </c>
      <c r="G6" s="41" t="n">
        <v>0</v>
      </c>
      <c r="H6" s="41" t="n">
        <v>0</v>
      </c>
      <c r="I6" s="41" t="n">
        <v>2</v>
      </c>
      <c r="J6" s="41" t="n">
        <v>6</v>
      </c>
      <c r="K6" s="42" t="inlineStr">
        <is>
          <t>Nocturnal</t>
        </is>
      </c>
      <c r="L6" s="41" t="n"/>
      <c r="M6" s="41" t="inlineStr">
        <is>
          <t>Primate (Beast)</t>
        </is>
      </c>
      <c r="N6" s="41" t="inlineStr">
        <is>
          <t>Ape &amp; Monkey</t>
        </is>
      </c>
      <c r="O6" s="41" t="inlineStr">
        <is>
          <t>Rainforest</t>
        </is>
      </c>
      <c r="P6" s="42" t="inlineStr">
        <is>
          <t>Plain unit (one simple skill)</t>
        </is>
      </c>
      <c r="Q6" s="41" t="inlineStr">
        <is>
          <t>Base</t>
        </is>
      </c>
    </row>
    <row r="7" ht="15" customHeight="1" s="39">
      <c r="A7" s="41" t="inlineStr">
        <is>
          <t>Base</t>
        </is>
      </c>
      <c r="B7" s="41" t="n"/>
      <c r="C7" s="41" t="inlineStr">
        <is>
          <t>Bramblewood Macaque</t>
        </is>
      </c>
      <c r="D7" s="41" t="inlineStr">
        <is>
          <t>bramblewood-macaque</t>
        </is>
      </c>
      <c r="E7" s="41" t="n"/>
      <c r="F7" s="41" t="inlineStr">
        <is>
          <t>Rare</t>
        </is>
      </c>
      <c r="G7" s="41" t="n">
        <v>0</v>
      </c>
      <c r="H7" s="41" t="n">
        <v>1</v>
      </c>
      <c r="I7" s="41" t="n">
        <v>2</v>
      </c>
      <c r="J7" s="41" t="n">
        <v>10</v>
      </c>
      <c r="K7" s="42" t="inlineStr">
        <is>
          <t>—</t>
        </is>
      </c>
      <c r="L7" s="41" t="n"/>
      <c r="M7" s="41" t="inlineStr">
        <is>
          <t>Primate (Beast)</t>
        </is>
      </c>
      <c r="N7" s="41" t="inlineStr">
        <is>
          <t>Ape &amp; Monkey</t>
        </is>
      </c>
      <c r="O7" s="41" t="inlineStr">
        <is>
          <t>Any</t>
        </is>
      </c>
      <c r="P7" s="42" t="inlineStr">
        <is>
          <t>Plain unit (vanilla)</t>
        </is>
      </c>
      <c r="Q7" s="41" t="inlineStr">
        <is>
          <t>Base</t>
        </is>
      </c>
    </row>
    <row r="8" ht="15" customHeight="1" s="39">
      <c r="A8" s="41" t="inlineStr">
        <is>
          <t>Base</t>
        </is>
      </c>
      <c r="B8" s="41" t="n"/>
      <c r="C8" s="41" t="inlineStr">
        <is>
          <t>Badger Trench Digger</t>
        </is>
      </c>
      <c r="D8" s="41" t="inlineStr">
        <is>
          <t>badger-trench-digger</t>
        </is>
      </c>
      <c r="E8" s="41" t="n"/>
      <c r="F8" s="41" t="inlineStr">
        <is>
          <t>Common</t>
        </is>
      </c>
      <c r="G8" s="41" t="n">
        <v>2</v>
      </c>
      <c r="H8" s="41" t="n">
        <v>2</v>
      </c>
      <c r="I8" s="41" t="n">
        <v>6</v>
      </c>
      <c r="J8" s="41" t="n">
        <v>22</v>
      </c>
      <c r="K8" s="42" t="inlineStr">
        <is>
          <t>Guardian</t>
        </is>
      </c>
      <c r="L8" s="41" t="n"/>
      <c r="M8" s="41" t="inlineStr">
        <is>
          <t>Mustelid (Beast)</t>
        </is>
      </c>
      <c r="N8" s="41" t="inlineStr">
        <is>
          <t>Badger</t>
        </is>
      </c>
      <c r="O8" s="41" t="inlineStr">
        <is>
          <t>Any</t>
        </is>
      </c>
      <c r="P8" s="42" t="inlineStr">
        <is>
          <t>Plain unit (one simple skill)</t>
        </is>
      </c>
      <c r="Q8" s="41" t="inlineStr">
        <is>
          <t>Base</t>
        </is>
      </c>
    </row>
    <row r="9" ht="15" customHeight="1" s="39">
      <c r="A9" s="41" t="inlineStr">
        <is>
          <t>Base</t>
        </is>
      </c>
      <c r="B9" s="41" t="n"/>
      <c r="C9" s="41" t="inlineStr">
        <is>
          <t>Honey Badger Fury</t>
        </is>
      </c>
      <c r="D9" s="41" t="inlineStr">
        <is>
          <t>honey-badger-fury</t>
        </is>
      </c>
      <c r="E9" s="41" t="n"/>
      <c r="F9" s="41" t="inlineStr">
        <is>
          <t>Common</t>
        </is>
      </c>
      <c r="G9" s="41" t="n">
        <v>1</v>
      </c>
      <c r="H9" s="41" t="n">
        <v>0</v>
      </c>
      <c r="I9" s="41" t="n">
        <v>2</v>
      </c>
      <c r="J9" s="41" t="n">
        <v>10</v>
      </c>
      <c r="K9" s="42" t="inlineStr">
        <is>
          <t>Rage</t>
        </is>
      </c>
      <c r="L9" s="41" t="n"/>
      <c r="M9" s="41" t="inlineStr">
        <is>
          <t>Mustelid (Beast)</t>
        </is>
      </c>
      <c r="N9" s="41" t="inlineStr">
        <is>
          <t>Badger</t>
        </is>
      </c>
      <c r="O9" s="41" t="inlineStr">
        <is>
          <t>Any</t>
        </is>
      </c>
      <c r="P9" s="42" t="inlineStr">
        <is>
          <t>Plain unit (one simple skill)</t>
        </is>
      </c>
      <c r="Q9" s="41" t="inlineStr">
        <is>
          <t>Base</t>
        </is>
      </c>
    </row>
    <row r="10" ht="15" customHeight="1" s="39">
      <c r="A10" s="41" t="inlineStr">
        <is>
          <t>Base</t>
        </is>
      </c>
      <c r="B10" s="41" t="n"/>
      <c r="C10" s="41" t="inlineStr">
        <is>
          <t>Badger Berserker</t>
        </is>
      </c>
      <c r="D10" s="41" t="inlineStr">
        <is>
          <t>badger-berserker</t>
        </is>
      </c>
      <c r="E10" s="41" t="n"/>
      <c r="F10" s="41" t="inlineStr">
        <is>
          <t>Rare</t>
        </is>
      </c>
      <c r="G10" s="41" t="n">
        <v>1</v>
      </c>
      <c r="H10" s="41" t="n">
        <v>1</v>
      </c>
      <c r="I10" s="41" t="n">
        <v>6</v>
      </c>
      <c r="J10" s="41" t="n">
        <v>14</v>
      </c>
      <c r="K10" s="42" t="inlineStr">
        <is>
          <t>Bounty 1</t>
        </is>
      </c>
      <c r="L10" s="41" t="n"/>
      <c r="M10" s="41" t="inlineStr">
        <is>
          <t>Mustelid (Beast)</t>
        </is>
      </c>
      <c r="N10" s="41" t="inlineStr">
        <is>
          <t>Badger</t>
        </is>
      </c>
      <c r="O10" s="41" t="inlineStr">
        <is>
          <t>Any</t>
        </is>
      </c>
      <c r="P10" s="42" t="inlineStr">
        <is>
          <t>Plain unit (vanilla)</t>
        </is>
      </c>
      <c r="Q10" s="41" t="inlineStr">
        <is>
          <t>Base</t>
        </is>
      </c>
    </row>
    <row r="11" ht="15" customHeight="1" s="39">
      <c r="A11" s="41" t="inlineStr">
        <is>
          <t>Base</t>
        </is>
      </c>
      <c r="B11" s="41" t="n"/>
      <c r="C11" s="41" t="inlineStr">
        <is>
          <t>Bear Cub</t>
        </is>
      </c>
      <c r="D11" s="41" t="inlineStr">
        <is>
          <t>bear-cub</t>
        </is>
      </c>
      <c r="E11" s="41" t="n"/>
      <c r="F11" s="41" t="inlineStr">
        <is>
          <t>Rare</t>
        </is>
      </c>
      <c r="G11" s="41" t="n">
        <v>0</v>
      </c>
      <c r="H11" s="41" t="n">
        <v>0</v>
      </c>
      <c r="I11" s="41" t="n">
        <v>2</v>
      </c>
      <c r="J11" s="41" t="n">
        <v>8</v>
      </c>
      <c r="K11" s="42" t="inlineStr">
        <is>
          <t>—</t>
        </is>
      </c>
      <c r="L11" s="41" t="n"/>
      <c r="M11" s="41" t="inlineStr">
        <is>
          <t>Ursid (Beast)</t>
        </is>
      </c>
      <c r="N11" s="41" t="inlineStr">
        <is>
          <t>Bear</t>
        </is>
      </c>
      <c r="O11" s="41" t="inlineStr">
        <is>
          <t>Any</t>
        </is>
      </c>
      <c r="P11" s="42" t="inlineStr">
        <is>
          <t>Plain unit (vanilla)</t>
        </is>
      </c>
      <c r="Q11" s="41" t="inlineStr">
        <is>
          <t>Base</t>
        </is>
      </c>
    </row>
    <row r="12" ht="15" customHeight="1" s="39">
      <c r="A12" s="41" t="inlineStr">
        <is>
          <t>Base</t>
        </is>
      </c>
      <c r="B12" s="41" t="n"/>
      <c r="C12" s="41" t="inlineStr">
        <is>
          <t>Woodland Brawler</t>
        </is>
      </c>
      <c r="D12" s="41" t="inlineStr">
        <is>
          <t>woodland-brawler</t>
        </is>
      </c>
      <c r="E12" s="41" t="n"/>
      <c r="F12" s="41" t="inlineStr">
        <is>
          <t>Rare</t>
        </is>
      </c>
      <c r="G12" s="41" t="n">
        <v>1</v>
      </c>
      <c r="H12" s="41" t="n">
        <v>1</v>
      </c>
      <c r="I12" s="41" t="n">
        <v>5</v>
      </c>
      <c r="J12" s="41" t="n">
        <v>16</v>
      </c>
      <c r="K12" s="42" t="inlineStr">
        <is>
          <t>Bounty 1</t>
        </is>
      </c>
      <c r="L12" s="41" t="n"/>
      <c r="M12" s="41" t="inlineStr">
        <is>
          <t>Ursid (Beast)</t>
        </is>
      </c>
      <c r="N12" s="41" t="inlineStr">
        <is>
          <t>Bear</t>
        </is>
      </c>
      <c r="O12" s="41" t="inlineStr">
        <is>
          <t>Any</t>
        </is>
      </c>
      <c r="P12" s="42" t="inlineStr">
        <is>
          <t>Plain unit (vanilla)</t>
        </is>
      </c>
      <c r="Q12" s="41" t="inlineStr">
        <is>
          <t>Base</t>
        </is>
      </c>
    </row>
    <row r="13" ht="15" customHeight="1" s="39">
      <c r="A13" s="41" t="inlineStr">
        <is>
          <t>Base</t>
        </is>
      </c>
      <c r="B13" s="41" t="n"/>
      <c r="C13" s="41" t="inlineStr">
        <is>
          <t>Beaver Builder</t>
        </is>
      </c>
      <c r="D13" s="41" t="inlineStr">
        <is>
          <t>beaver-builder</t>
        </is>
      </c>
      <c r="E13" s="41" t="n"/>
      <c r="F13" s="41" t="inlineStr">
        <is>
          <t>Common</t>
        </is>
      </c>
      <c r="G13" s="41" t="n">
        <v>0</v>
      </c>
      <c r="H13" s="41" t="n">
        <v>0</v>
      </c>
      <c r="I13" s="41" t="n">
        <v>1</v>
      </c>
      <c r="J13" s="41" t="n">
        <v>8</v>
      </c>
      <c r="K13" s="42" t="inlineStr">
        <is>
          <t>Worthy 1</t>
        </is>
      </c>
      <c r="L13" s="41" t="n"/>
      <c r="M13" s="41" t="inlineStr">
        <is>
          <t>Rodent (Beast)</t>
        </is>
      </c>
      <c r="N13" s="41" t="inlineStr">
        <is>
          <t>Beaver</t>
        </is>
      </c>
      <c r="O13" s="41" t="inlineStr">
        <is>
          <t>Any</t>
        </is>
      </c>
      <c r="P13" s="42" t="inlineStr">
        <is>
          <t>Plain unit</t>
        </is>
      </c>
      <c r="Q13" s="41" t="inlineStr">
        <is>
          <t>Base</t>
        </is>
      </c>
    </row>
    <row r="14" ht="15" customHeight="1" s="39">
      <c r="A14" s="41" t="inlineStr">
        <is>
          <t>Base</t>
        </is>
      </c>
      <c r="B14" s="41" t="n"/>
      <c r="C14" s="41" t="inlineStr">
        <is>
          <t>Beaver Lumberjack</t>
        </is>
      </c>
      <c r="D14" s="41" t="inlineStr">
        <is>
          <t>beaver-lumberjack</t>
        </is>
      </c>
      <c r="E14" s="41" t="n"/>
      <c r="F14" s="41" t="inlineStr">
        <is>
          <t>Common</t>
        </is>
      </c>
      <c r="G14" s="41" t="n">
        <v>0</v>
      </c>
      <c r="H14" s="41" t="n">
        <v>1</v>
      </c>
      <c r="I14" s="41" t="n">
        <v>3</v>
      </c>
      <c r="J14" s="41" t="n">
        <v>4</v>
      </c>
      <c r="K14" s="42" t="inlineStr">
        <is>
          <t>Worthy 2</t>
        </is>
      </c>
      <c r="L14" s="41" t="n"/>
      <c r="M14" s="41" t="inlineStr">
        <is>
          <t>Rodent (Beast)</t>
        </is>
      </c>
      <c r="N14" s="41" t="inlineStr">
        <is>
          <t>Beaver</t>
        </is>
      </c>
      <c r="O14" s="41" t="inlineStr">
        <is>
          <t>Any</t>
        </is>
      </c>
      <c r="P14" s="42" t="inlineStr">
        <is>
          <t>Given on purpose: every deck has a Lumber maker</t>
        </is>
      </c>
      <c r="Q14" s="41" t="inlineStr">
        <is>
          <t>Base</t>
        </is>
      </c>
    </row>
    <row r="15" ht="15" customHeight="1" s="39">
      <c r="A15" s="41" t="inlineStr">
        <is>
          <t>Base</t>
        </is>
      </c>
      <c r="B15" s="41" t="n"/>
      <c r="C15" s="41" t="inlineStr">
        <is>
          <t>Dam Wall</t>
        </is>
      </c>
      <c r="D15" s="41" t="inlineStr">
        <is>
          <t>dam-wall</t>
        </is>
      </c>
      <c r="E15" s="41" t="n"/>
      <c r="F15" s="41" t="inlineStr">
        <is>
          <t>Common</t>
        </is>
      </c>
      <c r="G15" s="41" t="n">
        <v>1</v>
      </c>
      <c r="H15" s="41" t="n">
        <v>2</v>
      </c>
      <c r="I15" s="41" t="n">
        <v>0</v>
      </c>
      <c r="J15" s="41" t="n">
        <v>20</v>
      </c>
      <c r="K15" s="42" t="inlineStr">
        <is>
          <t>Bounty 1</t>
        </is>
      </c>
      <c r="L15" s="41" t="n"/>
      <c r="M15" s="41" t="inlineStr">
        <is>
          <t>Rodent (Beast)</t>
        </is>
      </c>
      <c r="N15" s="41" t="inlineStr">
        <is>
          <t>Beaver</t>
        </is>
      </c>
      <c r="O15" s="41" t="inlineStr">
        <is>
          <t>Any</t>
        </is>
      </c>
      <c r="P15" s="42" t="inlineStr">
        <is>
          <t>Plain wall</t>
        </is>
      </c>
      <c r="Q15" s="41" t="inlineStr">
        <is>
          <t>Base</t>
        </is>
      </c>
    </row>
    <row r="16" ht="15" customHeight="1" s="39">
      <c r="A16" s="41" t="inlineStr">
        <is>
          <t>Base</t>
        </is>
      </c>
      <c r="B16" s="41" t="n"/>
      <c r="C16" s="41" t="inlineStr">
        <is>
          <t>Bee Forager</t>
        </is>
      </c>
      <c r="D16" s="41" t="inlineStr">
        <is>
          <t>bee-forager</t>
        </is>
      </c>
      <c r="E16" s="41" t="n"/>
      <c r="F16" s="41" t="inlineStr">
        <is>
          <t>Starter</t>
        </is>
      </c>
      <c r="G16" s="41" t="n">
        <v>0</v>
      </c>
      <c r="H16" s="41" t="n">
        <v>0</v>
      </c>
      <c r="I16" s="41" t="n">
        <v>0</v>
      </c>
      <c r="J16" s="41" t="n">
        <v>3</v>
      </c>
      <c r="K16" s="42" t="inlineStr">
        <is>
          <t>Flying, Swarm, Diurnal</t>
        </is>
      </c>
      <c r="L16" s="41" t="n"/>
      <c r="M16" s="41" t="inlineStr">
        <is>
          <t>Insect (Arthropod)</t>
        </is>
      </c>
      <c r="N16" s="41" t="inlineStr">
        <is>
          <t>Bee &amp; Wasp</t>
        </is>
      </c>
      <c r="O16" s="41" t="inlineStr">
        <is>
          <t>Any</t>
        </is>
      </c>
      <c r="P16" s="42" t="inlineStr">
        <is>
          <t>Critter starter</t>
        </is>
      </c>
      <c r="Q16" s="41" t="inlineStr">
        <is>
          <t>Base</t>
        </is>
      </c>
    </row>
    <row r="17" ht="15" customHeight="1" s="39">
      <c r="A17" s="41" t="inlineStr">
        <is>
          <t>Base</t>
        </is>
      </c>
      <c r="B17" s="41" t="n"/>
      <c r="C17" s="41" t="inlineStr">
        <is>
          <t>Bee Sentry</t>
        </is>
      </c>
      <c r="D17" s="41" t="inlineStr">
        <is>
          <t>bee-sentry</t>
        </is>
      </c>
      <c r="E17" s="41" t="n"/>
      <c r="F17" s="41" t="inlineStr">
        <is>
          <t>Starter</t>
        </is>
      </c>
      <c r="G17" s="41" t="n">
        <v>0</v>
      </c>
      <c r="H17" s="41" t="n">
        <v>1</v>
      </c>
      <c r="I17" s="41" t="n">
        <v>2</v>
      </c>
      <c r="J17" s="41" t="n">
        <v>5</v>
      </c>
      <c r="K17" s="42" t="inlineStr">
        <is>
          <t>Flying, Diurnal</t>
        </is>
      </c>
      <c r="L17" s="41" t="n"/>
      <c r="M17" s="41" t="inlineStr">
        <is>
          <t>Insect (Arthropod)</t>
        </is>
      </c>
      <c r="N17" s="41" t="inlineStr">
        <is>
          <t>Bee &amp; Wasp</t>
        </is>
      </c>
      <c r="O17" s="41" t="inlineStr">
        <is>
          <t>Any</t>
        </is>
      </c>
      <c r="P17" s="42" t="inlineStr">
        <is>
          <t>Critter starter</t>
        </is>
      </c>
      <c r="Q17" s="41" t="inlineStr">
        <is>
          <t>Base</t>
        </is>
      </c>
    </row>
    <row r="18" ht="15" customHeight="1" s="39">
      <c r="A18" s="41" t="inlineStr">
        <is>
          <t>Base</t>
        </is>
      </c>
      <c r="B18" s="41" t="n"/>
      <c r="C18" s="41" t="inlineStr">
        <is>
          <t>Honey Bee</t>
        </is>
      </c>
      <c r="D18" s="41" t="inlineStr">
        <is>
          <t>honey-bee</t>
        </is>
      </c>
      <c r="E18" s="41" t="n"/>
      <c r="F18" s="41" t="inlineStr">
        <is>
          <t>Starter</t>
        </is>
      </c>
      <c r="G18" s="41" t="n">
        <v>0</v>
      </c>
      <c r="H18" s="41" t="n">
        <v>0</v>
      </c>
      <c r="I18" s="41" t="n">
        <v>1</v>
      </c>
      <c r="J18" s="41" t="n">
        <v>2</v>
      </c>
      <c r="K18" s="42" t="inlineStr">
        <is>
          <t>Flying, Swarm, Hive Mind, Diurnal</t>
        </is>
      </c>
      <c r="L18" s="41" t="n"/>
      <c r="M18" s="41" t="inlineStr">
        <is>
          <t>Insect (Arthropod)</t>
        </is>
      </c>
      <c r="N18" s="41" t="inlineStr">
        <is>
          <t>Bee &amp; Wasp</t>
        </is>
      </c>
      <c r="O18" s="41" t="inlineStr">
        <is>
          <t>Any</t>
        </is>
      </c>
      <c r="P18" s="42" t="inlineStr">
        <is>
          <t>Critter starter</t>
        </is>
      </c>
      <c r="Q18" s="41" t="inlineStr">
        <is>
          <t>Base</t>
        </is>
      </c>
    </row>
    <row r="19" ht="15" customHeight="1" s="39">
      <c r="A19" s="41" t="inlineStr">
        <is>
          <t>Base</t>
        </is>
      </c>
      <c r="B19" s="41" t="n"/>
      <c r="C19" s="41" t="inlineStr">
        <is>
          <t>Bee Knight</t>
        </is>
      </c>
      <c r="D19" s="41" t="inlineStr">
        <is>
          <t>bee-knight</t>
        </is>
      </c>
      <c r="E19" s="41" t="n"/>
      <c r="F19" s="41" t="inlineStr">
        <is>
          <t>Uncommon</t>
        </is>
      </c>
      <c r="G19" s="41" t="n">
        <v>0</v>
      </c>
      <c r="H19" s="41" t="n">
        <v>0</v>
      </c>
      <c r="I19" s="41" t="n">
        <v>1</v>
      </c>
      <c r="J19" s="41" t="n">
        <v>3</v>
      </c>
      <c r="K19" s="42" t="inlineStr">
        <is>
          <t>Flying, Swarm, Diurnal</t>
        </is>
      </c>
      <c r="L19" s="41" t="n"/>
      <c r="M19" s="41" t="inlineStr">
        <is>
          <t>Insect (Arthropod)</t>
        </is>
      </c>
      <c r="N19" s="41" t="inlineStr">
        <is>
          <t>Bee &amp; Wasp</t>
        </is>
      </c>
      <c r="O19" s="41" t="inlineStr">
        <is>
          <t>Any</t>
        </is>
      </c>
      <c r="P19" s="42" t="inlineStr">
        <is>
          <t>Shared basic set; fresh portrait requested</t>
        </is>
      </c>
      <c r="Q19" s="41" t="inlineStr">
        <is>
          <t>Base</t>
        </is>
      </c>
    </row>
    <row r="20" ht="15" customHeight="1" s="39">
      <c r="A20" s="41" t="inlineStr">
        <is>
          <t>Base</t>
        </is>
      </c>
      <c r="B20" s="41" t="n"/>
      <c r="C20" s="41" t="inlineStr">
        <is>
          <t>Pill Bug</t>
        </is>
      </c>
      <c r="D20" s="41" t="inlineStr">
        <is>
          <t>pill-bug</t>
        </is>
      </c>
      <c r="E20" s="41" t="n"/>
      <c r="F20" s="41" t="inlineStr">
        <is>
          <t>Starter</t>
        </is>
      </c>
      <c r="G20" s="41" t="n">
        <v>0</v>
      </c>
      <c r="H20" s="41" t="n">
        <v>0</v>
      </c>
      <c r="I20" s="41" t="n">
        <v>1</v>
      </c>
      <c r="J20" s="41" t="n">
        <v>4</v>
      </c>
      <c r="K20" s="42" t="inlineStr">
        <is>
          <t>Armor 1</t>
        </is>
      </c>
      <c r="L20" s="41" t="n"/>
      <c r="M20" s="41" t="inlineStr">
        <is>
          <t>Insect (Arthropod)</t>
        </is>
      </c>
      <c r="N20" s="41" t="inlineStr">
        <is>
          <t>Beetle &amp; Bug</t>
        </is>
      </c>
      <c r="O20" s="41" t="inlineStr">
        <is>
          <t>Any</t>
        </is>
      </c>
      <c r="P20" s="42" t="inlineStr">
        <is>
          <t>Critter starter</t>
        </is>
      </c>
      <c r="Q20" s="41" t="inlineStr">
        <is>
          <t>Base</t>
        </is>
      </c>
    </row>
    <row r="21" ht="15" customHeight="1" s="39">
      <c r="A21" s="41" t="inlineStr">
        <is>
          <t>Base</t>
        </is>
      </c>
      <c r="B21" s="41" t="n"/>
      <c r="C21" s="41" t="inlineStr">
        <is>
          <t>Beetle Grunt</t>
        </is>
      </c>
      <c r="D21" s="41" t="inlineStr">
        <is>
          <t>beetle-grunt</t>
        </is>
      </c>
      <c r="E21" s="41" t="n"/>
      <c r="F21" s="41" t="inlineStr">
        <is>
          <t>Common</t>
        </is>
      </c>
      <c r="G21" s="41" t="n">
        <v>0</v>
      </c>
      <c r="H21" s="41" t="n">
        <v>1</v>
      </c>
      <c r="I21" s="41" t="n">
        <v>2</v>
      </c>
      <c r="J21" s="41" t="n">
        <v>7</v>
      </c>
      <c r="K21" s="42" t="inlineStr">
        <is>
          <t>—</t>
        </is>
      </c>
      <c r="L21" s="41" t="n"/>
      <c r="M21" s="41" t="inlineStr">
        <is>
          <t>Insect (Arthropod)</t>
        </is>
      </c>
      <c r="N21" s="41" t="inlineStr">
        <is>
          <t>Beetle &amp; Bug</t>
        </is>
      </c>
      <c r="O21" s="41" t="inlineStr">
        <is>
          <t>Any</t>
        </is>
      </c>
      <c r="P21" s="42" t="inlineStr">
        <is>
          <t>Plain unit (vanilla)</t>
        </is>
      </c>
      <c r="Q21" s="41" t="inlineStr">
        <is>
          <t>Base</t>
        </is>
      </c>
    </row>
    <row r="22" ht="15" customHeight="1" s="39">
      <c r="A22" s="41" t="inlineStr">
        <is>
          <t>Base</t>
        </is>
      </c>
      <c r="B22" s="41" t="n"/>
      <c r="C22" s="41" t="inlineStr">
        <is>
          <t>Cricket Drummer</t>
        </is>
      </c>
      <c r="D22" s="41" t="inlineStr">
        <is>
          <t>cricket-drummer</t>
        </is>
      </c>
      <c r="E22" s="41" t="n"/>
      <c r="F22" s="41" t="inlineStr">
        <is>
          <t>Common</t>
        </is>
      </c>
      <c r="G22" s="41" t="n">
        <v>0</v>
      </c>
      <c r="H22" s="41" t="n">
        <v>0</v>
      </c>
      <c r="I22" s="41" t="n">
        <v>2</v>
      </c>
      <c r="J22" s="41" t="n">
        <v>5</v>
      </c>
      <c r="K22" s="42" t="inlineStr">
        <is>
          <t>—</t>
        </is>
      </c>
      <c r="L22" s="41" t="n"/>
      <c r="M22" s="41" t="inlineStr">
        <is>
          <t>Insect (Arthropod)</t>
        </is>
      </c>
      <c r="N22" s="41" t="inlineStr">
        <is>
          <t>Beetle &amp; Bug</t>
        </is>
      </c>
      <c r="O22" s="41" t="inlineStr">
        <is>
          <t>Any</t>
        </is>
      </c>
      <c r="P22" s="42" t="inlineStr">
        <is>
          <t>Plain unit (vanilla)</t>
        </is>
      </c>
      <c r="Q22" s="41" t="inlineStr">
        <is>
          <t>Base</t>
        </is>
      </c>
    </row>
    <row r="23" ht="15" customHeight="1" s="39">
      <c r="A23" s="41" t="inlineStr">
        <is>
          <t>Base</t>
        </is>
      </c>
      <c r="B23" s="41" t="n"/>
      <c r="C23" s="41" t="inlineStr">
        <is>
          <t>Tusked Vanguard</t>
        </is>
      </c>
      <c r="D23" s="41" t="inlineStr">
        <is>
          <t>tusked-vanguard</t>
        </is>
      </c>
      <c r="E23" s="41" t="n"/>
      <c r="F23" s="41" t="inlineStr">
        <is>
          <t>Rare</t>
        </is>
      </c>
      <c r="G23" s="41" t="n">
        <v>0</v>
      </c>
      <c r="H23" s="41" t="n">
        <v>0</v>
      </c>
      <c r="I23" s="41" t="n">
        <v>3</v>
      </c>
      <c r="J23" s="41" t="n">
        <v>7</v>
      </c>
      <c r="K23" s="42" t="inlineStr">
        <is>
          <t>—</t>
        </is>
      </c>
      <c r="L23" s="41" t="n"/>
      <c r="M23" s="41" t="inlineStr">
        <is>
          <t>Suid (Beast)</t>
        </is>
      </c>
      <c r="N23" s="41" t="inlineStr">
        <is>
          <t>Boar</t>
        </is>
      </c>
      <c r="O23" s="41" t="inlineStr">
        <is>
          <t>Any</t>
        </is>
      </c>
      <c r="P23" s="42" t="inlineStr">
        <is>
          <t>Plain unit (vanilla)</t>
        </is>
      </c>
      <c r="Q23" s="41" t="inlineStr">
        <is>
          <t>Base</t>
        </is>
      </c>
    </row>
    <row r="24" ht="15" customHeight="1" s="39">
      <c r="A24" s="41" t="inlineStr">
        <is>
          <t>Base</t>
        </is>
      </c>
      <c r="B24" s="41" t="n"/>
      <c r="C24" s="41" t="inlineStr">
        <is>
          <t>Feral Tomcat</t>
        </is>
      </c>
      <c r="D24" s="41" t="inlineStr">
        <is>
          <t>feral-tomcat</t>
        </is>
      </c>
      <c r="E24" s="41" t="n"/>
      <c r="F24" s="41" t="inlineStr">
        <is>
          <t>Common</t>
        </is>
      </c>
      <c r="G24" s="41" t="n">
        <v>0</v>
      </c>
      <c r="H24" s="41" t="n">
        <v>0</v>
      </c>
      <c r="I24" s="41" t="n">
        <v>3</v>
      </c>
      <c r="J24" s="41" t="n">
        <v>3</v>
      </c>
      <c r="K24" s="42" t="inlineStr">
        <is>
          <t>Quick</t>
        </is>
      </c>
      <c r="L24" s="41" t="n"/>
      <c r="M24" s="41" t="inlineStr">
        <is>
          <t>Felid (Beast)</t>
        </is>
      </c>
      <c r="N24" s="41" t="inlineStr">
        <is>
          <t>Cat</t>
        </is>
      </c>
      <c r="O24" s="41" t="inlineStr">
        <is>
          <t>Any</t>
        </is>
      </c>
      <c r="P24" s="42" t="inlineStr">
        <is>
          <t>Plain unit</t>
        </is>
      </c>
      <c r="Q24" s="41" t="inlineStr">
        <is>
          <t>Base</t>
        </is>
      </c>
    </row>
    <row r="25" ht="15" customHeight="1" s="39">
      <c r="A25" s="41" t="inlineStr">
        <is>
          <t>Base</t>
        </is>
      </c>
      <c r="B25" s="41" t="n"/>
      <c r="C25" s="41" t="inlineStr">
        <is>
          <t>House Cat</t>
        </is>
      </c>
      <c r="D25" s="41" t="inlineStr">
        <is>
          <t>house-cat</t>
        </is>
      </c>
      <c r="E25" s="41" t="n"/>
      <c r="F25" s="41" t="inlineStr">
        <is>
          <t>Common</t>
        </is>
      </c>
      <c r="G25" s="41" t="n">
        <v>0</v>
      </c>
      <c r="H25" s="41" t="n">
        <v>0</v>
      </c>
      <c r="I25" s="41" t="n">
        <v>3</v>
      </c>
      <c r="J25" s="41" t="n">
        <v>3</v>
      </c>
      <c r="K25" s="42" t="inlineStr">
        <is>
          <t>—</t>
        </is>
      </c>
      <c r="L25" s="41" t="n"/>
      <c r="M25" s="41" t="inlineStr">
        <is>
          <t>Mammal</t>
        </is>
      </c>
      <c r="N25" s="41" t="inlineStr">
        <is>
          <t>Cat</t>
        </is>
      </c>
      <c r="O25" s="41" t="inlineStr">
        <is>
          <t>Village and farm</t>
        </is>
      </c>
      <c r="P25" s="42" t="inlineStr">
        <is>
          <t>Plain unit (vanilla)</t>
        </is>
      </c>
      <c r="Q25" s="41" t="inlineStr">
        <is>
          <t>Base</t>
        </is>
      </c>
    </row>
    <row r="26" ht="15" customHeight="1" s="39">
      <c r="A26" s="41" t="inlineStr">
        <is>
          <t>Base</t>
        </is>
      </c>
      <c r="B26" s="41" t="n"/>
      <c r="C26" s="41" t="inlineStr">
        <is>
          <t>Acorn Chipmunk</t>
        </is>
      </c>
      <c r="D26" s="41" t="inlineStr">
        <is>
          <t>acorn-chipmunk</t>
        </is>
      </c>
      <c r="E26" s="41" t="n"/>
      <c r="F26" s="41" t="inlineStr">
        <is>
          <t>Starter</t>
        </is>
      </c>
      <c r="G26" s="41" t="n">
        <v>0</v>
      </c>
      <c r="H26" s="41" t="n">
        <v>0</v>
      </c>
      <c r="I26" s="41" t="n">
        <v>2</v>
      </c>
      <c r="J26" s="41" t="n">
        <v>5</v>
      </c>
      <c r="K26" s="42" t="inlineStr">
        <is>
          <t>—</t>
        </is>
      </c>
      <c r="L26" s="41" t="n"/>
      <c r="M26" s="41" t="inlineStr">
        <is>
          <t>Rodent (Beast)</t>
        </is>
      </c>
      <c r="N26" s="41" t="inlineStr">
        <is>
          <t>Chipmunk &amp; Squirrel</t>
        </is>
      </c>
      <c r="O26" s="41" t="inlineStr">
        <is>
          <t>Any</t>
        </is>
      </c>
      <c r="P26" s="42" t="inlineStr">
        <is>
          <t>Critter starter</t>
        </is>
      </c>
      <c r="Q26" s="41" t="inlineStr">
        <is>
          <t>Base</t>
        </is>
      </c>
    </row>
    <row r="27" ht="15" customHeight="1" s="39">
      <c r="A27" s="41" t="inlineStr">
        <is>
          <t>Base</t>
        </is>
      </c>
      <c r="B27" s="41" t="n"/>
      <c r="C27" s="41" t="inlineStr">
        <is>
          <t>Chipmunk Forager</t>
        </is>
      </c>
      <c r="D27" s="41" t="inlineStr">
        <is>
          <t>chipmunk-forager</t>
        </is>
      </c>
      <c r="E27" s="41" t="n"/>
      <c r="F27" s="41" t="inlineStr">
        <is>
          <t>Starter</t>
        </is>
      </c>
      <c r="G27" s="41" t="n">
        <v>0</v>
      </c>
      <c r="H27" s="41" t="n">
        <v>0</v>
      </c>
      <c r="I27" s="41" t="n">
        <v>1</v>
      </c>
      <c r="J27" s="41" t="n">
        <v>3</v>
      </c>
      <c r="K27" s="42" t="inlineStr">
        <is>
          <t>—</t>
        </is>
      </c>
      <c r="L27" s="41" t="n"/>
      <c r="M27" s="41" t="inlineStr">
        <is>
          <t>Rodent (Beast)</t>
        </is>
      </c>
      <c r="N27" s="41" t="inlineStr">
        <is>
          <t>Chipmunk &amp; Squirrel</t>
        </is>
      </c>
      <c r="O27" s="41" t="inlineStr">
        <is>
          <t>Any</t>
        </is>
      </c>
      <c r="P27" s="42" t="inlineStr">
        <is>
          <t>Critter starter</t>
        </is>
      </c>
      <c r="Q27" s="41" t="inlineStr">
        <is>
          <t>Base</t>
        </is>
      </c>
    </row>
    <row r="28" ht="15" customHeight="1" s="39">
      <c r="A28" s="41" t="inlineStr">
        <is>
          <t>Base</t>
        </is>
      </c>
      <c r="B28" s="41" t="n"/>
      <c r="C28" s="41" t="inlineStr">
        <is>
          <t>Buzzed Chipmunk</t>
        </is>
      </c>
      <c r="D28" s="41" t="inlineStr">
        <is>
          <t>buzzed-chipmunk</t>
        </is>
      </c>
      <c r="E28" s="41" t="n"/>
      <c r="F28" s="41" t="inlineStr">
        <is>
          <t>Common</t>
        </is>
      </c>
      <c r="G28" s="41" t="n">
        <v>1</v>
      </c>
      <c r="H28" s="41" t="n">
        <v>2</v>
      </c>
      <c r="I28" s="41" t="n">
        <v>3</v>
      </c>
      <c r="J28" s="41" t="n">
        <v>7</v>
      </c>
      <c r="K28" s="42" t="inlineStr">
        <is>
          <t>Coffee 2</t>
        </is>
      </c>
      <c r="L28" s="41" t="n"/>
      <c r="M28" s="41" t="inlineStr">
        <is>
          <t>Rodent (Beast)</t>
        </is>
      </c>
      <c r="N28" s="41" t="inlineStr">
        <is>
          <t>Chipmunk &amp; Squirrel</t>
        </is>
      </c>
      <c r="O28" s="41" t="inlineStr">
        <is>
          <t>Village and farm</t>
        </is>
      </c>
      <c r="P28" s="42" t="inlineStr">
        <is>
          <t>Plain unit (one simple skill)</t>
        </is>
      </c>
      <c r="Q28" s="41" t="inlineStr">
        <is>
          <t>Base</t>
        </is>
      </c>
    </row>
    <row r="29" ht="15" customHeight="1" s="39">
      <c r="A29" s="41" t="inlineStr">
        <is>
          <t>Base</t>
        </is>
      </c>
      <c r="B29" s="41" t="n"/>
      <c r="C29" s="41" t="inlineStr">
        <is>
          <t>Chipmunk Skirmisher</t>
        </is>
      </c>
      <c r="D29" s="41" t="inlineStr">
        <is>
          <t>chipmunk-skirmisher</t>
        </is>
      </c>
      <c r="E29" s="41" t="n"/>
      <c r="F29" s="41" t="inlineStr">
        <is>
          <t>Common</t>
        </is>
      </c>
      <c r="G29" s="41" t="n">
        <v>0</v>
      </c>
      <c r="H29" s="41" t="n">
        <v>0</v>
      </c>
      <c r="I29" s="41" t="n">
        <v>2</v>
      </c>
      <c r="J29" s="41" t="n">
        <v>5</v>
      </c>
      <c r="K29" s="42" t="inlineStr">
        <is>
          <t>—</t>
        </is>
      </c>
      <c r="L29" s="41" t="n"/>
      <c r="M29" s="41" t="inlineStr">
        <is>
          <t>Rodent (Beast)</t>
        </is>
      </c>
      <c r="N29" s="41" t="inlineStr">
        <is>
          <t>Chipmunk &amp; Squirrel</t>
        </is>
      </c>
      <c r="O29" s="41" t="inlineStr">
        <is>
          <t>Any</t>
        </is>
      </c>
      <c r="P29" s="42" t="inlineStr">
        <is>
          <t>Plain unit (vanilla)</t>
        </is>
      </c>
      <c r="Q29" s="41" t="inlineStr">
        <is>
          <t>Base</t>
        </is>
      </c>
    </row>
    <row r="30" ht="15" customHeight="1" s="39">
      <c r="A30" s="41" t="inlineStr">
        <is>
          <t>Base</t>
        </is>
      </c>
      <c r="B30" s="41" t="n"/>
      <c r="C30" s="41" t="inlineStr">
        <is>
          <t>Antler Skirmisher</t>
        </is>
      </c>
      <c r="D30" s="41" t="inlineStr">
        <is>
          <t>antler-skirmisher</t>
        </is>
      </c>
      <c r="E30" s="41" t="n"/>
      <c r="F30" s="41" t="inlineStr">
        <is>
          <t>Rare</t>
        </is>
      </c>
      <c r="G30" s="41" t="n">
        <v>1</v>
      </c>
      <c r="H30" s="41" t="n">
        <v>1</v>
      </c>
      <c r="I30" s="41" t="n">
        <v>4</v>
      </c>
      <c r="J30" s="41" t="n">
        <v>12</v>
      </c>
      <c r="K30" s="42" t="inlineStr">
        <is>
          <t>—</t>
        </is>
      </c>
      <c r="L30" s="41" t="n"/>
      <c r="M30" s="41" t="inlineStr">
        <is>
          <t>Cervid (Beast)</t>
        </is>
      </c>
      <c r="N30" s="41" t="inlineStr">
        <is>
          <t>Deer &amp; Elk</t>
        </is>
      </c>
      <c r="O30" s="41" t="inlineStr">
        <is>
          <t>Any</t>
        </is>
      </c>
      <c r="P30" s="42" t="inlineStr">
        <is>
          <t>Plain unit (vanilla)</t>
        </is>
      </c>
      <c r="Q30" s="41" t="inlineStr">
        <is>
          <t>Base</t>
        </is>
      </c>
    </row>
    <row r="31" ht="15" customHeight="1" s="39">
      <c r="A31" s="41" t="inlineStr">
        <is>
          <t>Base</t>
        </is>
      </c>
      <c r="B31" s="41" t="n"/>
      <c r="C31" s="41" t="inlineStr">
        <is>
          <t>Farm Dog</t>
        </is>
      </c>
      <c r="D31" s="41" t="inlineStr">
        <is>
          <t>farm-dog</t>
        </is>
      </c>
      <c r="E31" s="41" t="n"/>
      <c r="F31" s="41" t="inlineStr">
        <is>
          <t>Common</t>
        </is>
      </c>
      <c r="G31" s="41" t="n">
        <v>0</v>
      </c>
      <c r="H31" s="41" t="n">
        <v>0</v>
      </c>
      <c r="I31" s="41" t="n">
        <v>2</v>
      </c>
      <c r="J31" s="41" t="n">
        <v>5</v>
      </c>
      <c r="K31" s="42" t="inlineStr">
        <is>
          <t>—</t>
        </is>
      </c>
      <c r="L31" s="41" t="n"/>
      <c r="M31" s="41" t="inlineStr">
        <is>
          <t>Mammal</t>
        </is>
      </c>
      <c r="N31" s="41" t="inlineStr">
        <is>
          <t>Dog</t>
        </is>
      </c>
      <c r="O31" s="41" t="inlineStr">
        <is>
          <t>Village and farm</t>
        </is>
      </c>
      <c r="P31" s="42" t="inlineStr">
        <is>
          <t>Plain unit (vanilla)</t>
        </is>
      </c>
      <c r="Q31" s="41" t="inlineStr">
        <is>
          <t>Base</t>
        </is>
      </c>
    </row>
    <row r="32" ht="15" customHeight="1" s="39">
      <c r="A32" s="41" t="inlineStr">
        <is>
          <t>Base</t>
        </is>
      </c>
      <c r="B32" s="41" t="n"/>
      <c r="C32" s="41" t="inlineStr">
        <is>
          <t>Shepherd's Bark</t>
        </is>
      </c>
      <c r="D32" s="41" t="inlineStr">
        <is>
          <t>shepherds-bark</t>
        </is>
      </c>
      <c r="E32" s="41" t="n"/>
      <c r="F32" s="41" t="inlineStr">
        <is>
          <t>Common</t>
        </is>
      </c>
      <c r="G32" s="41" t="n">
        <v>1</v>
      </c>
      <c r="H32" s="41" t="n">
        <v>1</v>
      </c>
      <c r="I32" s="41" t="n">
        <v>3</v>
      </c>
      <c r="J32" s="41" t="n">
        <v>12</v>
      </c>
      <c r="K32" s="42" t="inlineStr">
        <is>
          <t>Guardian</t>
        </is>
      </c>
      <c r="L32" s="41" t="n"/>
      <c r="M32" s="41" t="inlineStr">
        <is>
          <t>Canid (Beast)</t>
        </is>
      </c>
      <c r="N32" s="41" t="inlineStr">
        <is>
          <t>Dog</t>
        </is>
      </c>
      <c r="O32" s="41" t="inlineStr">
        <is>
          <t>Any</t>
        </is>
      </c>
      <c r="P32" s="42" t="inlineStr">
        <is>
          <t>Plain unit (one simple skill)</t>
        </is>
      </c>
      <c r="Q32" s="41" t="inlineStr">
        <is>
          <t>Base</t>
        </is>
      </c>
    </row>
    <row r="33" ht="15" customHeight="1" s="39">
      <c r="A33" s="41" t="inlineStr">
        <is>
          <t>Base</t>
        </is>
      </c>
      <c r="B33" s="41" t="n"/>
      <c r="C33" s="41" t="inlineStr">
        <is>
          <t>Terrier Pup</t>
        </is>
      </c>
      <c r="D33" s="41" t="inlineStr">
        <is>
          <t>terrier-pup</t>
        </is>
      </c>
      <c r="E33" s="41" t="n"/>
      <c r="F33" s="41" t="inlineStr">
        <is>
          <t>Uncommon</t>
        </is>
      </c>
      <c r="G33" s="41" t="n">
        <v>0</v>
      </c>
      <c r="H33" s="41" t="n">
        <v>0</v>
      </c>
      <c r="I33" s="41" t="n">
        <v>2</v>
      </c>
      <c r="J33" s="41" t="n">
        <v>6</v>
      </c>
      <c r="K33" s="42" t="inlineStr">
        <is>
          <t>—</t>
        </is>
      </c>
      <c r="L33" s="41" t="n"/>
      <c r="M33" s="41" t="inlineStr">
        <is>
          <t>Canid (Beast)</t>
        </is>
      </c>
      <c r="N33" s="41" t="inlineStr">
        <is>
          <t>Dog</t>
        </is>
      </c>
      <c r="O33" s="41" t="inlineStr">
        <is>
          <t>Any</t>
        </is>
      </c>
      <c r="P33" s="42" t="inlineStr">
        <is>
          <t>Plain unit (vanilla)</t>
        </is>
      </c>
      <c r="Q33" s="41" t="inlineStr">
        <is>
          <t>Base</t>
        </is>
      </c>
    </row>
    <row r="34" ht="15" customHeight="1" s="39">
      <c r="A34" s="41" t="inlineStr">
        <is>
          <t>Base</t>
        </is>
      </c>
      <c r="B34" s="41" t="n"/>
      <c r="C34" s="41" t="inlineStr">
        <is>
          <t>Duck Paddler</t>
        </is>
      </c>
      <c r="D34" s="41" t="inlineStr">
        <is>
          <t>duck-paddler</t>
        </is>
      </c>
      <c r="E34" s="41" t="n"/>
      <c r="F34" s="41" t="inlineStr">
        <is>
          <t>Starter</t>
        </is>
      </c>
      <c r="G34" s="41" t="n">
        <v>0</v>
      </c>
      <c r="H34" s="41" t="n">
        <v>1</v>
      </c>
      <c r="I34" s="41" t="n">
        <v>3</v>
      </c>
      <c r="J34" s="41" t="n">
        <v>6</v>
      </c>
      <c r="K34" s="42" t="inlineStr">
        <is>
          <t>Flying</t>
        </is>
      </c>
      <c r="L34" s="41" t="n"/>
      <c r="M34" s="41" t="inlineStr">
        <is>
          <t>Bird</t>
        </is>
      </c>
      <c r="N34" s="41" t="inlineStr">
        <is>
          <t>Duck &amp; Goose</t>
        </is>
      </c>
      <c r="O34" s="41" t="inlineStr">
        <is>
          <t>Any</t>
        </is>
      </c>
      <c r="P34" s="42" t="inlineStr">
        <is>
          <t>Shared basic set</t>
        </is>
      </c>
      <c r="Q34" s="41" t="inlineStr">
        <is>
          <t>Base</t>
        </is>
      </c>
    </row>
    <row r="35" ht="15" customHeight="1" s="39">
      <c r="A35" s="41" t="inlineStr">
        <is>
          <t>Base</t>
        </is>
      </c>
      <c r="B35" s="41" t="n"/>
      <c r="C35" s="41" t="inlineStr">
        <is>
          <t>Duckling</t>
        </is>
      </c>
      <c r="D35" s="41" t="inlineStr">
        <is>
          <t>duckling</t>
        </is>
      </c>
      <c r="E35" s="41" t="n"/>
      <c r="F35" s="41" t="inlineStr">
        <is>
          <t>Starter</t>
        </is>
      </c>
      <c r="G35" s="41" t="n">
        <v>0</v>
      </c>
      <c r="H35" s="41" t="n">
        <v>0</v>
      </c>
      <c r="I35" s="41" t="n">
        <v>1</v>
      </c>
      <c r="J35" s="41" t="n">
        <v>3</v>
      </c>
      <c r="K35" s="42" t="inlineStr">
        <is>
          <t>Flying</t>
        </is>
      </c>
      <c r="L35" s="41" t="n"/>
      <c r="M35" s="41" t="inlineStr">
        <is>
          <t>Bird</t>
        </is>
      </c>
      <c r="N35" s="41" t="inlineStr">
        <is>
          <t>Duck &amp; Goose</t>
        </is>
      </c>
      <c r="O35" s="41" t="inlineStr">
        <is>
          <t>Any</t>
        </is>
      </c>
      <c r="P35" s="42" t="inlineStr">
        <is>
          <t>Critter starter</t>
        </is>
      </c>
      <c r="Q35" s="41" t="inlineStr">
        <is>
          <t>Base</t>
        </is>
      </c>
    </row>
    <row r="36" ht="15" customHeight="1" s="39">
      <c r="A36" s="41" t="inlineStr">
        <is>
          <t>Base</t>
        </is>
      </c>
      <c r="B36" s="41" t="n"/>
      <c r="C36" s="41" t="inlineStr">
        <is>
          <t>Pond Duck</t>
        </is>
      </c>
      <c r="D36" s="41" t="inlineStr">
        <is>
          <t>pond-duck</t>
        </is>
      </c>
      <c r="E36" s="41" t="n"/>
      <c r="F36" s="41" t="inlineStr">
        <is>
          <t>Starter</t>
        </is>
      </c>
      <c r="G36" s="41" t="n">
        <v>0</v>
      </c>
      <c r="H36" s="41" t="n">
        <v>0</v>
      </c>
      <c r="I36" s="41" t="n">
        <v>2</v>
      </c>
      <c r="J36" s="41" t="n">
        <v>5</v>
      </c>
      <c r="K36" s="42" t="inlineStr">
        <is>
          <t>Flying</t>
        </is>
      </c>
      <c r="L36" s="41" t="n"/>
      <c r="M36" s="41" t="inlineStr">
        <is>
          <t>Bird</t>
        </is>
      </c>
      <c r="N36" s="41" t="inlineStr">
        <is>
          <t>Duck &amp; Goose</t>
        </is>
      </c>
      <c r="O36" s="41" t="inlineStr">
        <is>
          <t>Any</t>
        </is>
      </c>
      <c r="P36" s="42" t="inlineStr">
        <is>
          <t>Critter starter</t>
        </is>
      </c>
      <c r="Q36" s="41" t="inlineStr">
        <is>
          <t>Base</t>
        </is>
      </c>
    </row>
    <row r="37" ht="15" customHeight="1" s="39">
      <c r="A37" s="41" t="inlineStr">
        <is>
          <t>Base</t>
        </is>
      </c>
      <c r="B37" s="41" t="n"/>
      <c r="C37" s="41" t="inlineStr">
        <is>
          <t>Guppy</t>
        </is>
      </c>
      <c r="D37" s="41" t="inlineStr">
        <is>
          <t>guppy</t>
        </is>
      </c>
      <c r="E37" s="41" t="n"/>
      <c r="F37" s="41" t="inlineStr">
        <is>
          <t>Starter</t>
        </is>
      </c>
      <c r="G37" s="41" t="n">
        <v>0</v>
      </c>
      <c r="H37" s="41" t="n">
        <v>0</v>
      </c>
      <c r="I37" s="41" t="n">
        <v>1</v>
      </c>
      <c r="J37" s="41" t="n">
        <v>2</v>
      </c>
      <c r="K37" s="42" t="inlineStr">
        <is>
          <t>Swimmer</t>
        </is>
      </c>
      <c r="L37" s="41" t="n"/>
      <c r="M37" s="41" t="inlineStr">
        <is>
          <t>Fish (Aquatic)</t>
        </is>
      </c>
      <c r="N37" s="41" t="inlineStr">
        <is>
          <t>Fish</t>
        </is>
      </c>
      <c r="O37" s="41" t="inlineStr">
        <is>
          <t>Any</t>
        </is>
      </c>
      <c r="P37" s="42" t="inlineStr">
        <is>
          <t>Critter starter</t>
        </is>
      </c>
      <c r="Q37" s="41" t="inlineStr">
        <is>
          <t>Base</t>
        </is>
      </c>
    </row>
    <row r="38" ht="15" customHeight="1" s="39">
      <c r="A38" s="41" t="inlineStr">
        <is>
          <t>Base</t>
        </is>
      </c>
      <c r="B38" s="41" t="n"/>
      <c r="C38" s="41" t="inlineStr">
        <is>
          <t>Pond Trout</t>
        </is>
      </c>
      <c r="D38" s="41" t="inlineStr">
        <is>
          <t>pond-trout</t>
        </is>
      </c>
      <c r="E38" s="41" t="n"/>
      <c r="F38" s="41" t="inlineStr">
        <is>
          <t>Starter</t>
        </is>
      </c>
      <c r="G38" s="41" t="n">
        <v>0</v>
      </c>
      <c r="H38" s="41" t="n">
        <v>0</v>
      </c>
      <c r="I38" s="41" t="n">
        <v>2</v>
      </c>
      <c r="J38" s="41" t="n">
        <v>4</v>
      </c>
      <c r="K38" s="42" t="inlineStr">
        <is>
          <t>Swimmer</t>
        </is>
      </c>
      <c r="L38" s="41" t="n"/>
      <c r="M38" s="41" t="inlineStr">
        <is>
          <t>Fish (Aquatic)</t>
        </is>
      </c>
      <c r="N38" s="41" t="inlineStr">
        <is>
          <t>Fish</t>
        </is>
      </c>
      <c r="O38" s="41" t="inlineStr">
        <is>
          <t>Any</t>
        </is>
      </c>
      <c r="P38" s="42" t="inlineStr">
        <is>
          <t>Shared basic set</t>
        </is>
      </c>
      <c r="Q38" s="41" t="inlineStr">
        <is>
          <t>Base</t>
        </is>
      </c>
    </row>
    <row r="39" ht="15" customHeight="1" s="39">
      <c r="A39" s="41" t="inlineStr">
        <is>
          <t>Base</t>
        </is>
      </c>
      <c r="B39" s="41" t="n"/>
      <c r="C39" s="41" t="inlineStr">
        <is>
          <t>River Carp</t>
        </is>
      </c>
      <c r="D39" s="41" t="inlineStr">
        <is>
          <t>river-carp</t>
        </is>
      </c>
      <c r="E39" s="41" t="n"/>
      <c r="F39" s="41" t="inlineStr">
        <is>
          <t>Starter</t>
        </is>
      </c>
      <c r="G39" s="41" t="n">
        <v>0</v>
      </c>
      <c r="H39" s="41" t="n">
        <v>1</v>
      </c>
      <c r="I39" s="41" t="n">
        <v>3</v>
      </c>
      <c r="J39" s="41" t="n">
        <v>7</v>
      </c>
      <c r="K39" s="42" t="inlineStr">
        <is>
          <t>Swimmer</t>
        </is>
      </c>
      <c r="L39" s="41" t="n"/>
      <c r="M39" s="41" t="inlineStr">
        <is>
          <t>Fish (Aquatic)</t>
        </is>
      </c>
      <c r="N39" s="41" t="inlineStr">
        <is>
          <t>Fish</t>
        </is>
      </c>
      <c r="O39" s="41" t="inlineStr">
        <is>
          <t>Any</t>
        </is>
      </c>
      <c r="P39" s="42" t="inlineStr">
        <is>
          <t>Critter starter</t>
        </is>
      </c>
      <c r="Q39" s="41" t="inlineStr">
        <is>
          <t>Base</t>
        </is>
      </c>
    </row>
    <row r="40" ht="15" customHeight="1" s="39">
      <c r="A40" s="41" t="inlineStr">
        <is>
          <t>Base</t>
        </is>
      </c>
      <c r="B40" s="41" t="n"/>
      <c r="C40" s="41" t="inlineStr">
        <is>
          <t>Silver Minnow</t>
        </is>
      </c>
      <c r="D40" s="41" t="inlineStr">
        <is>
          <t>silver-minnow</t>
        </is>
      </c>
      <c r="E40" s="41" t="n"/>
      <c r="F40" s="41" t="inlineStr">
        <is>
          <t>Starter</t>
        </is>
      </c>
      <c r="G40" s="41" t="n">
        <v>0</v>
      </c>
      <c r="H40" s="41" t="n">
        <v>0</v>
      </c>
      <c r="I40" s="41" t="n">
        <v>1</v>
      </c>
      <c r="J40" s="41" t="n">
        <v>2</v>
      </c>
      <c r="K40" s="42" t="inlineStr">
        <is>
          <t>Swimmer</t>
        </is>
      </c>
      <c r="L40" s="41" t="n"/>
      <c r="M40" s="41" t="inlineStr">
        <is>
          <t>Fish (Aquatic)</t>
        </is>
      </c>
      <c r="N40" s="41" t="inlineStr">
        <is>
          <t>Fish</t>
        </is>
      </c>
      <c r="O40" s="41" t="inlineStr">
        <is>
          <t>Any</t>
        </is>
      </c>
      <c r="P40" s="42" t="inlineStr">
        <is>
          <t>Critter starter</t>
        </is>
      </c>
      <c r="Q40" s="41" t="inlineStr">
        <is>
          <t>Base</t>
        </is>
      </c>
    </row>
    <row r="41" ht="15" customHeight="1" s="39">
      <c r="A41" s="41" t="inlineStr">
        <is>
          <t>Base</t>
        </is>
      </c>
      <c r="B41" s="41" t="n"/>
      <c r="C41" s="41" t="inlineStr">
        <is>
          <t>Fox Kit</t>
        </is>
      </c>
      <c r="D41" s="41" t="inlineStr">
        <is>
          <t>fox-kit</t>
        </is>
      </c>
      <c r="E41" s="41" t="n"/>
      <c r="F41" s="41" t="inlineStr">
        <is>
          <t>Rare</t>
        </is>
      </c>
      <c r="G41" s="41" t="n">
        <v>0</v>
      </c>
      <c r="H41" s="41" t="n">
        <v>0</v>
      </c>
      <c r="I41" s="41" t="n">
        <v>3</v>
      </c>
      <c r="J41" s="41" t="n">
        <v>5</v>
      </c>
      <c r="K41" s="42" t="inlineStr">
        <is>
          <t>—</t>
        </is>
      </c>
      <c r="L41" s="41" t="n"/>
      <c r="M41" s="41" t="inlineStr">
        <is>
          <t>Canid (Beast)</t>
        </is>
      </c>
      <c r="N41" s="41" t="inlineStr">
        <is>
          <t>Fox</t>
        </is>
      </c>
      <c r="O41" s="41" t="inlineStr">
        <is>
          <t>Any</t>
        </is>
      </c>
      <c r="P41" s="42" t="inlineStr">
        <is>
          <t>Plain unit (vanilla)</t>
        </is>
      </c>
      <c r="Q41" s="41" t="inlineStr">
        <is>
          <t>Base</t>
        </is>
      </c>
    </row>
    <row r="42" ht="15" customHeight="1" s="39">
      <c r="A42" s="41" t="inlineStr">
        <is>
          <t>Base</t>
        </is>
      </c>
      <c r="B42" s="41" t="n"/>
      <c r="C42" s="41" t="inlineStr">
        <is>
          <t>Ferry Toll-Frog</t>
        </is>
      </c>
      <c r="D42" s="41" t="inlineStr">
        <is>
          <t>ferry-toll-frog</t>
        </is>
      </c>
      <c r="E42" s="41" t="n"/>
      <c r="F42" s="41" t="inlineStr">
        <is>
          <t>Common</t>
        </is>
      </c>
      <c r="G42" s="41" t="n">
        <v>0</v>
      </c>
      <c r="H42" s="41" t="n">
        <v>0</v>
      </c>
      <c r="I42" s="41" t="n">
        <v>2</v>
      </c>
      <c r="J42" s="41" t="n">
        <v>5</v>
      </c>
      <c r="K42" s="42" t="inlineStr">
        <is>
          <t>Loot 1, Swimmer</t>
        </is>
      </c>
      <c r="L42" s="41" t="n"/>
      <c r="M42" s="41" t="inlineStr">
        <is>
          <t>Amphibian (Scaled)</t>
        </is>
      </c>
      <c r="N42" s="41" t="inlineStr">
        <is>
          <t>Frog &amp; Toad</t>
        </is>
      </c>
      <c r="O42" s="41" t="inlineStr">
        <is>
          <t>River</t>
        </is>
      </c>
      <c r="P42" s="42" t="inlineStr">
        <is>
          <t>Riverbank card, in both ally packs</t>
        </is>
      </c>
      <c r="Q42" s="41" t="inlineStr">
        <is>
          <t>Base</t>
        </is>
      </c>
    </row>
    <row r="43" ht="15" customHeight="1" s="39">
      <c r="A43" s="41" t="inlineStr">
        <is>
          <t>Base</t>
        </is>
      </c>
      <c r="B43" s="41" t="n"/>
      <c r="C43" s="41" t="inlineStr">
        <is>
          <t>Meadow Frog</t>
        </is>
      </c>
      <c r="D43" s="41" t="inlineStr">
        <is>
          <t>meadow-frog</t>
        </is>
      </c>
      <c r="E43" s="41" t="n"/>
      <c r="F43" s="41" t="inlineStr">
        <is>
          <t>Common</t>
        </is>
      </c>
      <c r="G43" s="41" t="n">
        <v>0</v>
      </c>
      <c r="H43" s="41" t="n">
        <v>0</v>
      </c>
      <c r="I43" s="41" t="n">
        <v>3</v>
      </c>
      <c r="J43" s="41" t="n">
        <v>3</v>
      </c>
      <c r="K43" s="42" t="inlineStr">
        <is>
          <t>Swimmer</t>
        </is>
      </c>
      <c r="L43" s="41" t="n"/>
      <c r="M43" s="41" t="inlineStr">
        <is>
          <t>Amphibian (Scaled)</t>
        </is>
      </c>
      <c r="N43" s="41" t="inlineStr">
        <is>
          <t>Frog &amp; Toad</t>
        </is>
      </c>
      <c r="O43" s="41" t="inlineStr">
        <is>
          <t>Any</t>
        </is>
      </c>
      <c r="P43" s="42" t="inlineStr">
        <is>
          <t>Shared basic set</t>
        </is>
      </c>
      <c r="Q43" s="41" t="inlineStr">
        <is>
          <t>Base</t>
        </is>
      </c>
    </row>
    <row r="44" ht="15" customHeight="1" s="39">
      <c r="A44" s="41" t="inlineStr">
        <is>
          <t>Base</t>
        </is>
      </c>
      <c r="B44" s="41" t="n"/>
      <c r="C44" s="41" t="inlineStr">
        <is>
          <t>Pack Mule</t>
        </is>
      </c>
      <c r="D44" s="41" t="inlineStr">
        <is>
          <t>pack-mule</t>
        </is>
      </c>
      <c r="E44" s="41" t="n"/>
      <c r="F44" s="41" t="inlineStr">
        <is>
          <t>Common</t>
        </is>
      </c>
      <c r="G44" s="41" t="n">
        <v>0</v>
      </c>
      <c r="H44" s="41" t="n">
        <v>0</v>
      </c>
      <c r="I44" s="41" t="n">
        <v>1</v>
      </c>
      <c r="J44" s="41" t="n">
        <v>10</v>
      </c>
      <c r="K44" s="42" t="inlineStr">
        <is>
          <t>Worthy 1</t>
        </is>
      </c>
      <c r="L44" s="41" t="n"/>
      <c r="M44" s="41" t="inlineStr">
        <is>
          <t>Equid (Beast)</t>
        </is>
      </c>
      <c r="N44" s="41" t="inlineStr">
        <is>
          <t>Horse</t>
        </is>
      </c>
      <c r="O44" s="41" t="inlineStr">
        <is>
          <t>Any</t>
        </is>
      </c>
      <c r="P44" s="42" t="inlineStr">
        <is>
          <t>Plain unit</t>
        </is>
      </c>
      <c r="Q44" s="41" t="inlineStr">
        <is>
          <t>Base</t>
        </is>
      </c>
    </row>
    <row r="45" ht="15" customHeight="1" s="39">
      <c r="A45" s="41" t="inlineStr">
        <is>
          <t>Base</t>
        </is>
      </c>
      <c r="B45" s="41" t="n"/>
      <c r="C45" s="41" t="inlineStr">
        <is>
          <t>Stable Colt</t>
        </is>
      </c>
      <c r="D45" s="41" t="inlineStr">
        <is>
          <t>stable-colt</t>
        </is>
      </c>
      <c r="E45" s="41" t="n"/>
      <c r="F45" s="41" t="inlineStr">
        <is>
          <t>Rare</t>
        </is>
      </c>
      <c r="G45" s="41" t="n">
        <v>0</v>
      </c>
      <c r="H45" s="41" t="n">
        <v>0</v>
      </c>
      <c r="I45" s="41" t="n">
        <v>2</v>
      </c>
      <c r="J45" s="41" t="n">
        <v>9</v>
      </c>
      <c r="K45" s="42" t="inlineStr">
        <is>
          <t>—</t>
        </is>
      </c>
      <c r="L45" s="41" t="n"/>
      <c r="M45" s="41" t="inlineStr">
        <is>
          <t>Equid (Beast)</t>
        </is>
      </c>
      <c r="N45" s="41" t="inlineStr">
        <is>
          <t>Horse</t>
        </is>
      </c>
      <c r="O45" s="41" t="inlineStr">
        <is>
          <t>Any</t>
        </is>
      </c>
      <c r="P45" s="42" t="inlineStr">
        <is>
          <t>Plain unit (vanilla)</t>
        </is>
      </c>
      <c r="Q45" s="41" t="inlineStr">
        <is>
          <t>Base</t>
        </is>
      </c>
    </row>
    <row r="46" ht="15" customHeight="1" s="39">
      <c r="A46" s="41" t="inlineStr">
        <is>
          <t>Base</t>
        </is>
      </c>
      <c r="B46" s="41" t="n"/>
      <c r="C46" s="41" t="inlineStr">
        <is>
          <t>Meerkat Wayfarer</t>
        </is>
      </c>
      <c r="D46" s="41" t="inlineStr">
        <is>
          <t>meerkat-wayfarer</t>
        </is>
      </c>
      <c r="E46" s="41" t="n"/>
      <c r="F46" s="41" t="inlineStr">
        <is>
          <t>Uncommon</t>
        </is>
      </c>
      <c r="G46" s="41" t="n">
        <v>1</v>
      </c>
      <c r="H46" s="41" t="n">
        <v>0</v>
      </c>
      <c r="I46" s="41" t="n">
        <v>3</v>
      </c>
      <c r="J46" s="41" t="n">
        <v>7</v>
      </c>
      <c r="K46" s="42" t="inlineStr">
        <is>
          <t>Reach, Inspiring 1</t>
        </is>
      </c>
      <c r="L46" s="41" t="n"/>
      <c r="M46" s="41" t="inlineStr">
        <is>
          <t>Herpestid (Beast)</t>
        </is>
      </c>
      <c r="N46" s="41" t="inlineStr">
        <is>
          <t>Meerkat</t>
        </is>
      </c>
      <c r="O46" s="41" t="inlineStr">
        <is>
          <t>Village and farm</t>
        </is>
      </c>
      <c r="P46" s="42" t="inlineStr">
        <is>
          <t>Base card today</t>
        </is>
      </c>
      <c r="Q46" s="41" t="inlineStr">
        <is>
          <t>Base</t>
        </is>
      </c>
    </row>
    <row r="47" ht="15" customHeight="1" s="39">
      <c r="A47" s="41" t="inlineStr">
        <is>
          <t>Base</t>
        </is>
      </c>
      <c r="B47" s="41" t="n"/>
      <c r="C47" s="41" t="inlineStr">
        <is>
          <t>Harvest Mouse</t>
        </is>
      </c>
      <c r="D47" s="41" t="inlineStr">
        <is>
          <t>harvest-mouse</t>
        </is>
      </c>
      <c r="E47" s="41" t="n"/>
      <c r="F47" s="41" t="inlineStr">
        <is>
          <t>Starter</t>
        </is>
      </c>
      <c r="G47" s="41" t="n">
        <v>0</v>
      </c>
      <c r="H47" s="41" t="n">
        <v>0</v>
      </c>
      <c r="I47" s="41" t="n">
        <v>1</v>
      </c>
      <c r="J47" s="41" t="n">
        <v>3</v>
      </c>
      <c r="K47" s="42" t="inlineStr">
        <is>
          <t>—</t>
        </is>
      </c>
      <c r="L47" s="41" t="n"/>
      <c r="M47" s="41" t="inlineStr">
        <is>
          <t>Rodent (Beast)</t>
        </is>
      </c>
      <c r="N47" s="41" t="inlineStr">
        <is>
          <t>Mouse &amp; Rat</t>
        </is>
      </c>
      <c r="O47" s="41" t="inlineStr">
        <is>
          <t>Any</t>
        </is>
      </c>
      <c r="P47" s="42" t="inlineStr">
        <is>
          <t>Critter starter</t>
        </is>
      </c>
      <c r="Q47" s="41" t="inlineStr">
        <is>
          <t>Base</t>
        </is>
      </c>
    </row>
    <row r="48" ht="15" customHeight="1" s="39">
      <c r="A48" s="41" t="inlineStr">
        <is>
          <t>Base</t>
        </is>
      </c>
      <c r="B48" s="41" t="n"/>
      <c r="C48" s="41" t="inlineStr">
        <is>
          <t>Field Mouse</t>
        </is>
      </c>
      <c r="D48" s="41" t="inlineStr">
        <is>
          <t>field-mouse</t>
        </is>
      </c>
      <c r="E48" s="41" t="n"/>
      <c r="F48" s="41" t="inlineStr">
        <is>
          <t>Common</t>
        </is>
      </c>
      <c r="G48" s="41" t="n">
        <v>0</v>
      </c>
      <c r="H48" s="41" t="n">
        <v>0</v>
      </c>
      <c r="I48" s="41" t="n">
        <v>1</v>
      </c>
      <c r="J48" s="41" t="n">
        <v>5</v>
      </c>
      <c r="K48" s="42" t="inlineStr">
        <is>
          <t>Worthy 1</t>
        </is>
      </c>
      <c r="L48" s="41" t="n"/>
      <c r="M48" s="41" t="inlineStr">
        <is>
          <t>Rodent (Beast)</t>
        </is>
      </c>
      <c r="N48" s="41" t="inlineStr">
        <is>
          <t>Mouse &amp; Rat</t>
        </is>
      </c>
      <c r="O48" s="41" t="inlineStr">
        <is>
          <t>Any</t>
        </is>
      </c>
      <c r="P48" s="42" t="inlineStr">
        <is>
          <t>Plain unit</t>
        </is>
      </c>
      <c r="Q48" s="41" t="inlineStr">
        <is>
          <t>Base</t>
        </is>
      </c>
    </row>
    <row r="49" ht="15" customHeight="1" s="39">
      <c r="A49" s="41" t="inlineStr">
        <is>
          <t>Base</t>
        </is>
      </c>
      <c r="B49" s="41" t="n"/>
      <c r="C49" s="41" t="inlineStr">
        <is>
          <t>Riverside Peddler</t>
        </is>
      </c>
      <c r="D49" s="41" t="inlineStr">
        <is>
          <t>riverside-peddler</t>
        </is>
      </c>
      <c r="E49" s="41" t="n"/>
      <c r="F49" s="41" t="inlineStr">
        <is>
          <t>Common</t>
        </is>
      </c>
      <c r="G49" s="41" t="n">
        <v>0</v>
      </c>
      <c r="H49" s="41" t="n">
        <v>0</v>
      </c>
      <c r="I49" s="41" t="n">
        <v>2</v>
      </c>
      <c r="J49" s="41" t="n">
        <v>5</v>
      </c>
      <c r="K49" s="42" t="inlineStr">
        <is>
          <t>Worthy 1</t>
        </is>
      </c>
      <c r="L49" s="41" t="n"/>
      <c r="M49" s="41" t="inlineStr">
        <is>
          <t>Rodent (Beast)</t>
        </is>
      </c>
      <c r="N49" s="41" t="inlineStr">
        <is>
          <t>Mouse &amp; Rat</t>
        </is>
      </c>
      <c r="O49" s="41" t="inlineStr">
        <is>
          <t>Any</t>
        </is>
      </c>
      <c r="P49" s="42" t="inlineStr">
        <is>
          <t>Riverbank card, in both ally packs</t>
        </is>
      </c>
      <c r="Q49" s="41" t="inlineStr">
        <is>
          <t>Base</t>
        </is>
      </c>
    </row>
    <row r="50" ht="23.25" customHeight="1" s="39">
      <c r="A50" s="41" t="inlineStr">
        <is>
          <t>Base</t>
        </is>
      </c>
      <c r="B50" s="41" t="n"/>
      <c r="C50" s="41" t="inlineStr">
        <is>
          <t>Wandering Traveller</t>
        </is>
      </c>
      <c r="D50" s="41" t="inlineStr">
        <is>
          <t>wandering-traveller</t>
        </is>
      </c>
      <c r="E50" s="41" t="n"/>
      <c r="F50" s="41" t="inlineStr">
        <is>
          <t>Rare</t>
        </is>
      </c>
      <c r="G50" s="41" t="n">
        <v>0</v>
      </c>
      <c r="H50" s="41" t="n">
        <v>3</v>
      </c>
      <c r="I50" s="41" t="n">
        <v>6</v>
      </c>
      <c r="J50" s="41" t="n">
        <v>11</v>
      </c>
      <c r="K50" s="42" t="inlineStr">
        <is>
          <t>Draw 1, Lumber when Ready 1, Natural Leader</t>
        </is>
      </c>
      <c r="L50" s="41" t="n"/>
      <c r="M50" s="41" t="inlineStr">
        <is>
          <t>Rodent (Beast)</t>
        </is>
      </c>
      <c r="N50" s="41" t="inlineStr">
        <is>
          <t>Mouse &amp; Rat</t>
        </is>
      </c>
      <c r="O50" s="41" t="inlineStr">
        <is>
          <t>Any</t>
        </is>
      </c>
      <c r="P50" s="42" t="inlineStr">
        <is>
          <t>The starting Leader (draw 1, +1 Lumber)</t>
        </is>
      </c>
      <c r="Q50" s="41" t="inlineStr">
        <is>
          <t>Base</t>
        </is>
      </c>
    </row>
    <row r="51" ht="15" customHeight="1" s="39">
      <c r="A51" s="41" t="inlineStr">
        <is>
          <t>Base</t>
        </is>
      </c>
      <c r="B51" s="41" t="n"/>
      <c r="C51" s="41" t="inlineStr">
        <is>
          <t>Riverwing Envoy</t>
        </is>
      </c>
      <c r="D51" s="41" t="inlineStr">
        <is>
          <t>riverwing-envoy</t>
        </is>
      </c>
      <c r="E51" s="41" t="n"/>
      <c r="F51" s="41" t="inlineStr">
        <is>
          <t>Uncommon</t>
        </is>
      </c>
      <c r="G51" s="41" t="n">
        <v>0</v>
      </c>
      <c r="H51" s="41" t="n">
        <v>0</v>
      </c>
      <c r="I51" s="41" t="n">
        <v>1</v>
      </c>
      <c r="J51" s="41" t="n">
        <v>5</v>
      </c>
      <c r="K51" s="42" t="inlineStr">
        <is>
          <t>Esprit 1</t>
        </is>
      </c>
      <c r="L51" s="41" t="n"/>
      <c r="M51" s="41" t="inlineStr">
        <is>
          <t>Mustelid &amp; Bird (Beast &amp; Bird)</t>
        </is>
      </c>
      <c r="N51" s="41" t="inlineStr">
        <is>
          <t>Otter &amp; Hummingbird</t>
        </is>
      </c>
      <c r="O51" s="41" t="inlineStr">
        <is>
          <t>Any</t>
        </is>
      </c>
      <c r="P51" s="42" t="inlineStr">
        <is>
          <t>Base card today: the otter-and-hummingbird friendship card</t>
        </is>
      </c>
      <c r="Q51" s="41" t="inlineStr">
        <is>
          <t>Base</t>
        </is>
      </c>
    </row>
    <row r="52" ht="15" customHeight="1" s="39">
      <c r="A52" s="41" t="inlineStr">
        <is>
          <t>Base</t>
        </is>
      </c>
      <c r="B52" s="41" t="n"/>
      <c r="C52" s="41" t="inlineStr">
        <is>
          <t>Night Watchman</t>
        </is>
      </c>
      <c r="D52" s="41" t="inlineStr">
        <is>
          <t>night-watchman</t>
        </is>
      </c>
      <c r="E52" s="41" t="n"/>
      <c r="F52" s="41" t="inlineStr">
        <is>
          <t>Common</t>
        </is>
      </c>
      <c r="G52" s="41" t="n">
        <v>0</v>
      </c>
      <c r="H52" s="41" t="n">
        <v>0</v>
      </c>
      <c r="I52" s="41" t="n">
        <v>2</v>
      </c>
      <c r="J52" s="41" t="n">
        <v>3</v>
      </c>
      <c r="K52" s="42" t="inlineStr">
        <is>
          <t>Flying, Nocturnal 2</t>
        </is>
      </c>
      <c r="L52" s="41" t="n"/>
      <c r="M52" s="41" t="inlineStr">
        <is>
          <t>Bird</t>
        </is>
      </c>
      <c r="N52" s="41" t="inlineStr">
        <is>
          <t>Owl</t>
        </is>
      </c>
      <c r="O52" s="41" t="inlineStr">
        <is>
          <t>Village and farm</t>
        </is>
      </c>
      <c r="P52" s="42" t="inlineStr">
        <is>
          <t>Plain unit</t>
        </is>
      </c>
      <c r="Q52" s="41" t="inlineStr">
        <is>
          <t>Base</t>
        </is>
      </c>
    </row>
    <row r="53" ht="15" customHeight="1" s="39">
      <c r="A53" s="41" t="inlineStr">
        <is>
          <t>Base</t>
        </is>
      </c>
      <c r="B53" s="41" t="n"/>
      <c r="C53" s="41" t="inlineStr">
        <is>
          <t>Owl Nightwatch</t>
        </is>
      </c>
      <c r="D53" s="41" t="inlineStr">
        <is>
          <t>owl-nightwatch</t>
        </is>
      </c>
      <c r="E53" s="41" t="n"/>
      <c r="F53" s="41" t="inlineStr">
        <is>
          <t>Common</t>
        </is>
      </c>
      <c r="G53" s="41" t="n">
        <v>1</v>
      </c>
      <c r="H53" s="41" t="n">
        <v>1</v>
      </c>
      <c r="I53" s="41" t="n">
        <v>4</v>
      </c>
      <c r="J53" s="41" t="n">
        <v>10</v>
      </c>
      <c r="K53" s="42" t="inlineStr">
        <is>
          <t>Stealth, Flying, Nocturnal</t>
        </is>
      </c>
      <c r="L53" s="41" t="n"/>
      <c r="M53" s="41" t="inlineStr">
        <is>
          <t>Bird</t>
        </is>
      </c>
      <c r="N53" s="41" t="inlineStr">
        <is>
          <t>Owl</t>
        </is>
      </c>
      <c r="O53" s="41" t="inlineStr">
        <is>
          <t>Any</t>
        </is>
      </c>
      <c r="P53" s="42" t="inlineStr">
        <is>
          <t>Plain unit</t>
        </is>
      </c>
      <c r="Q53" s="41" t="inlineStr">
        <is>
          <t>Base</t>
        </is>
      </c>
    </row>
    <row r="54" ht="15" customHeight="1" s="39">
      <c r="A54" s="41" t="inlineStr">
        <is>
          <t>Base</t>
        </is>
      </c>
      <c r="B54" s="41" t="n"/>
      <c r="C54" s="41" t="inlineStr">
        <is>
          <t>Owl Sentinel</t>
        </is>
      </c>
      <c r="D54" s="41" t="inlineStr">
        <is>
          <t>owl-sentinel</t>
        </is>
      </c>
      <c r="E54" s="41" t="n"/>
      <c r="F54" s="41" t="inlineStr">
        <is>
          <t>Common</t>
        </is>
      </c>
      <c r="G54" s="41" t="n">
        <v>1</v>
      </c>
      <c r="H54" s="41" t="n">
        <v>2</v>
      </c>
      <c r="I54" s="41" t="n">
        <v>3</v>
      </c>
      <c r="J54" s="41" t="n">
        <v>12</v>
      </c>
      <c r="K54" s="42" t="inlineStr">
        <is>
          <t>Bounty 1, Flying, Nocturnal, Keen Eye</t>
        </is>
      </c>
      <c r="L54" s="41" t="n"/>
      <c r="M54" s="41" t="inlineStr">
        <is>
          <t>Bird</t>
        </is>
      </c>
      <c r="N54" s="41" t="inlineStr">
        <is>
          <t>Owl</t>
        </is>
      </c>
      <c r="O54" s="41" t="inlineStr">
        <is>
          <t>Any</t>
        </is>
      </c>
      <c r="P54" s="42" t="inlineStr">
        <is>
          <t>Plain unit</t>
        </is>
      </c>
      <c r="Q54" s="41" t="inlineStr">
        <is>
          <t>Base</t>
        </is>
      </c>
    </row>
    <row r="55" ht="15" customHeight="1" s="39">
      <c r="A55" s="41" t="inlineStr">
        <is>
          <t>Base</t>
        </is>
      </c>
      <c r="B55" s="41" t="n"/>
      <c r="C55" s="41" t="inlineStr">
        <is>
          <t>Owl Fletcher</t>
        </is>
      </c>
      <c r="D55" s="41" t="inlineStr">
        <is>
          <t>owl-fletcher</t>
        </is>
      </c>
      <c r="E55" s="41" t="n"/>
      <c r="F55" s="41" t="inlineStr">
        <is>
          <t>Rare</t>
        </is>
      </c>
      <c r="G55" s="41" t="n">
        <v>0</v>
      </c>
      <c r="H55" s="41" t="n">
        <v>1</v>
      </c>
      <c r="I55" s="41" t="n">
        <v>3</v>
      </c>
      <c r="J55" s="41" t="n">
        <v>3</v>
      </c>
      <c r="K55" s="42" t="inlineStr">
        <is>
          <t>Flying, Arrow 1, Nocturnal</t>
        </is>
      </c>
      <c r="L55" s="41" t="n"/>
      <c r="M55" s="41" t="inlineStr">
        <is>
          <t>Bird</t>
        </is>
      </c>
      <c r="N55" s="41" t="inlineStr">
        <is>
          <t>Owl</t>
        </is>
      </c>
      <c r="O55" s="41" t="inlineStr">
        <is>
          <t>Any</t>
        </is>
      </c>
      <c r="P55" s="42" t="inlineStr">
        <is>
          <t>Plain unit</t>
        </is>
      </c>
      <c r="Q55" s="41" t="inlineStr">
        <is>
          <t>Base</t>
        </is>
      </c>
    </row>
    <row r="56" ht="15" customHeight="1" s="39">
      <c r="A56" s="41" t="inlineStr">
        <is>
          <t>Base</t>
        </is>
      </c>
      <c r="B56" s="41" t="n"/>
      <c r="C56" s="41" t="inlineStr">
        <is>
          <t>Porcupine Roller</t>
        </is>
      </c>
      <c r="D56" s="41" t="inlineStr">
        <is>
          <t>porcupine-roller</t>
        </is>
      </c>
      <c r="E56" s="41" t="n"/>
      <c r="F56" s="41" t="inlineStr">
        <is>
          <t>Common</t>
        </is>
      </c>
      <c r="G56" s="41" t="n">
        <v>0</v>
      </c>
      <c r="H56" s="41" t="n">
        <v>0</v>
      </c>
      <c r="I56" s="41" t="n">
        <v>1</v>
      </c>
      <c r="J56" s="41" t="n">
        <v>8</v>
      </c>
      <c r="K56" s="42" t="inlineStr">
        <is>
          <t>Thorns 2</t>
        </is>
      </c>
      <c r="L56" s="41" t="n"/>
      <c r="M56" s="41" t="inlineStr">
        <is>
          <t>Rodent (Beast)</t>
        </is>
      </c>
      <c r="N56" s="41" t="inlineStr">
        <is>
          <t>Porcupine</t>
        </is>
      </c>
      <c r="O56" s="41" t="inlineStr">
        <is>
          <t>Any</t>
        </is>
      </c>
      <c r="P56" s="42" t="inlineStr">
        <is>
          <t>Plain unit (one simple skill)</t>
        </is>
      </c>
      <c r="Q56" s="41" t="inlineStr">
        <is>
          <t>Base</t>
        </is>
      </c>
    </row>
    <row r="57" ht="15" customHeight="1" s="39">
      <c r="A57" s="41" t="inlineStr">
        <is>
          <t>Base</t>
        </is>
      </c>
      <c r="B57" s="41" t="n"/>
      <c r="C57" s="41" t="inlineStr">
        <is>
          <t>Burrow Rabbit</t>
        </is>
      </c>
      <c r="D57" s="41" t="inlineStr">
        <is>
          <t>burrow-rabbit</t>
        </is>
      </c>
      <c r="E57" s="41" t="n"/>
      <c r="F57" s="41" t="inlineStr">
        <is>
          <t>Starter</t>
        </is>
      </c>
      <c r="G57" s="41" t="n">
        <v>0</v>
      </c>
      <c r="H57" s="41" t="n">
        <v>1</v>
      </c>
      <c r="I57" s="41" t="n">
        <v>3</v>
      </c>
      <c r="J57" s="41" t="n">
        <v>7</v>
      </c>
      <c r="K57" s="42" t="inlineStr">
        <is>
          <t>—</t>
        </is>
      </c>
      <c r="L57" s="41" t="n"/>
      <c r="M57" s="41" t="inlineStr">
        <is>
          <t>Lagomorph (Beast)</t>
        </is>
      </c>
      <c r="N57" s="41" t="inlineStr">
        <is>
          <t>Rabbit &amp; Hare</t>
        </is>
      </c>
      <c r="O57" s="41" t="inlineStr">
        <is>
          <t>Any</t>
        </is>
      </c>
      <c r="P57" s="42" t="inlineStr">
        <is>
          <t>Critter starter</t>
        </is>
      </c>
      <c r="Q57" s="41" t="inlineStr">
        <is>
          <t>Base</t>
        </is>
      </c>
    </row>
    <row r="58" ht="15" customHeight="1" s="39">
      <c r="A58" s="41" t="inlineStr">
        <is>
          <t>Base</t>
        </is>
      </c>
      <c r="B58" s="41" t="n"/>
      <c r="C58" s="41" t="inlineStr">
        <is>
          <t>Cottontail</t>
        </is>
      </c>
      <c r="D58" s="41" t="inlineStr">
        <is>
          <t>cottontail</t>
        </is>
      </c>
      <c r="E58" s="41" t="n"/>
      <c r="F58" s="41" t="inlineStr">
        <is>
          <t>Starter</t>
        </is>
      </c>
      <c r="G58" s="41" t="n">
        <v>0</v>
      </c>
      <c r="H58" s="41" t="n">
        <v>0</v>
      </c>
      <c r="I58" s="41" t="n">
        <v>2</v>
      </c>
      <c r="J58" s="41" t="n">
        <v>5</v>
      </c>
      <c r="K58" s="42" t="inlineStr">
        <is>
          <t>—</t>
        </is>
      </c>
      <c r="L58" s="41" t="n"/>
      <c r="M58" s="41" t="inlineStr">
        <is>
          <t>Lagomorph (Beast)</t>
        </is>
      </c>
      <c r="N58" s="41" t="inlineStr">
        <is>
          <t>Rabbit &amp; Hare</t>
        </is>
      </c>
      <c r="O58" s="41" t="inlineStr">
        <is>
          <t>Any</t>
        </is>
      </c>
      <c r="P58" s="42" t="inlineStr">
        <is>
          <t>Critter starter</t>
        </is>
      </c>
      <c r="Q58" s="41" t="inlineStr">
        <is>
          <t>Base</t>
        </is>
      </c>
    </row>
    <row r="59" ht="15" customHeight="1" s="39">
      <c r="A59" s="41" t="inlineStr">
        <is>
          <t>Base</t>
        </is>
      </c>
      <c r="B59" s="41" t="n"/>
      <c r="C59" s="41" t="inlineStr">
        <is>
          <t>Meadow Rabbit</t>
        </is>
      </c>
      <c r="D59" s="41" t="inlineStr">
        <is>
          <t>meadow-rabbit</t>
        </is>
      </c>
      <c r="E59" s="41" t="n"/>
      <c r="F59" s="41" t="inlineStr">
        <is>
          <t>Starter</t>
        </is>
      </c>
      <c r="G59" s="41" t="n">
        <v>0</v>
      </c>
      <c r="H59" s="41" t="n">
        <v>0</v>
      </c>
      <c r="I59" s="41" t="n">
        <v>1</v>
      </c>
      <c r="J59" s="41" t="n">
        <v>4</v>
      </c>
      <c r="K59" s="42" t="inlineStr">
        <is>
          <t>—</t>
        </is>
      </c>
      <c r="L59" s="41" t="n"/>
      <c r="M59" s="41" t="inlineStr">
        <is>
          <t>Lagomorph (Beast)</t>
        </is>
      </c>
      <c r="N59" s="41" t="inlineStr">
        <is>
          <t>Rabbit &amp; Hare</t>
        </is>
      </c>
      <c r="O59" s="41" t="inlineStr">
        <is>
          <t>Any</t>
        </is>
      </c>
      <c r="P59" s="42" t="inlineStr">
        <is>
          <t>Critter starter</t>
        </is>
      </c>
      <c r="Q59" s="41" t="inlineStr">
        <is>
          <t>Base</t>
        </is>
      </c>
    </row>
    <row r="60" ht="15" customHeight="1" s="39">
      <c r="A60" s="41" t="inlineStr">
        <is>
          <t>Base</t>
        </is>
      </c>
      <c r="B60" s="41" t="n"/>
      <c r="C60" s="41" t="inlineStr">
        <is>
          <t>Raccoon Nightcrew</t>
        </is>
      </c>
      <c r="D60" s="41" t="inlineStr">
        <is>
          <t>raccoon-nightcrew</t>
        </is>
      </c>
      <c r="E60" s="41" t="n"/>
      <c r="F60" s="41" t="inlineStr">
        <is>
          <t>Common</t>
        </is>
      </c>
      <c r="G60" s="41" t="n">
        <v>1</v>
      </c>
      <c r="H60" s="41" t="n">
        <v>1</v>
      </c>
      <c r="I60" s="41" t="n">
        <v>7</v>
      </c>
      <c r="J60" s="41" t="n">
        <v>12</v>
      </c>
      <c r="K60" s="42" t="inlineStr">
        <is>
          <t>Stealth, Nocturnal</t>
        </is>
      </c>
      <c r="L60" s="41" t="n"/>
      <c r="M60" s="41" t="inlineStr">
        <is>
          <t>Procyonid (Beast)</t>
        </is>
      </c>
      <c r="N60" s="41" t="inlineStr">
        <is>
          <t>Raccoon</t>
        </is>
      </c>
      <c r="O60" s="41" t="inlineStr">
        <is>
          <t>Any</t>
        </is>
      </c>
      <c r="P60" s="42" t="inlineStr">
        <is>
          <t>Plain unit</t>
        </is>
      </c>
      <c r="Q60" s="41" t="inlineStr">
        <is>
          <t>Base</t>
        </is>
      </c>
    </row>
    <row r="61" ht="15" customHeight="1" s="39">
      <c r="A61" s="41" t="inlineStr">
        <is>
          <t>Base</t>
        </is>
      </c>
      <c r="B61" s="41" t="n"/>
      <c r="C61" s="41" t="inlineStr">
        <is>
          <t>Trash Panda Trickster</t>
        </is>
      </c>
      <c r="D61" s="41" t="inlineStr">
        <is>
          <t>trash-panda-trickster</t>
        </is>
      </c>
      <c r="E61" s="41" t="n"/>
      <c r="F61" s="41" t="inlineStr">
        <is>
          <t>Common</t>
        </is>
      </c>
      <c r="G61" s="41" t="n">
        <v>0</v>
      </c>
      <c r="H61" s="41" t="n">
        <v>0</v>
      </c>
      <c r="I61" s="41" t="n">
        <v>2</v>
      </c>
      <c r="J61" s="41" t="n">
        <v>8</v>
      </c>
      <c r="K61" s="42" t="inlineStr">
        <is>
          <t>Nocturnal, Worthy 1</t>
        </is>
      </c>
      <c r="L61" s="41" t="n"/>
      <c r="M61" s="41" t="inlineStr">
        <is>
          <t>Procyonid (Beast)</t>
        </is>
      </c>
      <c r="N61" s="41" t="inlineStr">
        <is>
          <t>Raccoon</t>
        </is>
      </c>
      <c r="O61" s="41" t="inlineStr">
        <is>
          <t>Any</t>
        </is>
      </c>
      <c r="P61" s="42" t="inlineStr">
        <is>
          <t>Plain unit</t>
        </is>
      </c>
      <c r="Q61" s="41" t="inlineStr">
        <is>
          <t>Base</t>
        </is>
      </c>
    </row>
    <row r="62" ht="15" customHeight="1" s="39">
      <c r="A62" s="41" t="inlineStr">
        <is>
          <t>Base</t>
        </is>
      </c>
      <c r="B62" s="41" t="n"/>
      <c r="C62" s="43" t="inlineStr">
        <is>
          <t>Field Crow</t>
        </is>
      </c>
      <c r="D62" s="43" t="inlineStr">
        <is>
          <t>field-crow</t>
        </is>
      </c>
      <c r="E62" s="43" t="inlineStr">
        <is>
          <t>yes</t>
        </is>
      </c>
      <c r="F62" s="41" t="inlineStr">
        <is>
          <t>Common</t>
        </is>
      </c>
      <c r="G62" s="41" t="n">
        <v>0</v>
      </c>
      <c r="H62" s="41" t="n">
        <v>0</v>
      </c>
      <c r="I62" s="41" t="n">
        <v>2</v>
      </c>
      <c r="J62" s="41" t="n">
        <v>4</v>
      </c>
      <c r="K62" s="42" t="inlineStr">
        <is>
          <t>Flying</t>
        </is>
      </c>
      <c r="L62" s="41" t="n"/>
      <c r="M62" s="41" t="inlineStr">
        <is>
          <t>Bird</t>
        </is>
      </c>
      <c r="N62" s="41" t="inlineStr">
        <is>
          <t>Raven &amp; Crow</t>
        </is>
      </c>
      <c r="O62" s="41" t="inlineStr">
        <is>
          <t>Any</t>
        </is>
      </c>
      <c r="P62" s="42" t="inlineStr">
        <is>
          <t>Plain unit</t>
        </is>
      </c>
      <c r="Q62" s="41" t="inlineStr">
        <is>
          <t>Base</t>
        </is>
      </c>
    </row>
    <row r="63" ht="15" customHeight="1" s="39">
      <c r="A63" s="41" t="inlineStr">
        <is>
          <t>Base</t>
        </is>
      </c>
      <c r="B63" s="41" t="n"/>
      <c r="C63" s="41" t="inlineStr">
        <is>
          <t>Raven Scout</t>
        </is>
      </c>
      <c r="D63" s="41" t="inlineStr">
        <is>
          <t>raven-scout</t>
        </is>
      </c>
      <c r="E63" s="41" t="n"/>
      <c r="F63" s="41" t="inlineStr">
        <is>
          <t>Rare</t>
        </is>
      </c>
      <c r="G63" s="41" t="n">
        <v>0</v>
      </c>
      <c r="H63" s="41" t="n">
        <v>0</v>
      </c>
      <c r="I63" s="41" t="n">
        <v>2</v>
      </c>
      <c r="J63" s="41" t="n">
        <v>3</v>
      </c>
      <c r="K63" s="42" t="inlineStr">
        <is>
          <t>Flying, Pounce 2</t>
        </is>
      </c>
      <c r="L63" s="41" t="n"/>
      <c r="M63" s="41" t="inlineStr">
        <is>
          <t>Bird</t>
        </is>
      </c>
      <c r="N63" s="41" t="inlineStr">
        <is>
          <t>Raven &amp; Crow</t>
        </is>
      </c>
      <c r="O63" s="41" t="inlineStr">
        <is>
          <t>Any</t>
        </is>
      </c>
      <c r="P63" s="42" t="inlineStr">
        <is>
          <t>Plain unit</t>
        </is>
      </c>
      <c r="Q63" s="41" t="inlineStr">
        <is>
          <t>Base</t>
        </is>
      </c>
    </row>
    <row r="64" ht="15" customHeight="1" s="39">
      <c r="A64" s="41" t="inlineStr">
        <is>
          <t>Base</t>
        </is>
      </c>
      <c r="B64" s="41" t="n"/>
      <c r="C64" s="41" t="inlineStr">
        <is>
          <t>Canopy Sloth Guardian</t>
        </is>
      </c>
      <c r="D64" s="41" t="inlineStr">
        <is>
          <t>canopy-sloth-guardian</t>
        </is>
      </c>
      <c r="E64" s="41" t="n"/>
      <c r="F64" s="41" t="inlineStr">
        <is>
          <t>Common</t>
        </is>
      </c>
      <c r="G64" s="41" t="n">
        <v>2</v>
      </c>
      <c r="H64" s="41" t="n">
        <v>2</v>
      </c>
      <c r="I64" s="41" t="n">
        <v>3</v>
      </c>
      <c r="J64" s="41" t="n">
        <v>30</v>
      </c>
      <c r="K64" s="42" t="inlineStr">
        <is>
          <t>Guardian</t>
        </is>
      </c>
      <c r="L64" s="41" t="n"/>
      <c r="M64" s="41" t="inlineStr">
        <is>
          <t>Xenarthran (Beast)</t>
        </is>
      </c>
      <c r="N64" s="41" t="inlineStr">
        <is>
          <t>Sloth &amp; Armadillo</t>
        </is>
      </c>
      <c r="O64" s="41" t="inlineStr">
        <is>
          <t>Any</t>
        </is>
      </c>
      <c r="P64" s="42" t="inlineStr">
        <is>
          <t>Plain unit (one simple skill)</t>
        </is>
      </c>
      <c r="Q64" s="41" t="inlineStr">
        <is>
          <t>Base</t>
        </is>
      </c>
    </row>
    <row r="65" ht="15" customHeight="1" s="39">
      <c r="A65" s="41" t="inlineStr">
        <is>
          <t>Base</t>
        </is>
      </c>
      <c r="B65" s="41" t="n"/>
      <c r="C65" s="41" t="inlineStr">
        <is>
          <t>Hanging Loafer</t>
        </is>
      </c>
      <c r="D65" s="41" t="inlineStr">
        <is>
          <t>hanging-loafer</t>
        </is>
      </c>
      <c r="E65" s="41" t="n"/>
      <c r="F65" s="41" t="inlineStr">
        <is>
          <t>Common</t>
        </is>
      </c>
      <c r="G65" s="41" t="n">
        <v>1</v>
      </c>
      <c r="H65" s="41" t="n">
        <v>4</v>
      </c>
      <c r="I65" s="41" t="n">
        <v>4</v>
      </c>
      <c r="J65" s="41" t="n">
        <v>22</v>
      </c>
      <c r="K65" s="42" t="inlineStr">
        <is>
          <t>Bounty 1</t>
        </is>
      </c>
      <c r="L65" s="41" t="n"/>
      <c r="M65" s="41" t="inlineStr">
        <is>
          <t>Xenarthran (Beast)</t>
        </is>
      </c>
      <c r="N65" s="41" t="inlineStr">
        <is>
          <t>Sloth &amp; Armadillo</t>
        </is>
      </c>
      <c r="O65" s="41" t="inlineStr">
        <is>
          <t>Any</t>
        </is>
      </c>
      <c r="P65" s="42" t="inlineStr">
        <is>
          <t>Plain unit (vanilla)</t>
        </is>
      </c>
      <c r="Q65" s="41" t="inlineStr">
        <is>
          <t>Base</t>
        </is>
      </c>
    </row>
    <row r="66" ht="15" customHeight="1" s="39">
      <c r="A66" s="41" t="inlineStr">
        <is>
          <t>Base</t>
        </is>
      </c>
      <c r="B66" s="41" t="n"/>
      <c r="C66" s="41" t="inlineStr">
        <is>
          <t>Slowpoke Sentinel</t>
        </is>
      </c>
      <c r="D66" s="41" t="inlineStr">
        <is>
          <t>slowpoke-sentinel</t>
        </is>
      </c>
      <c r="E66" s="41" t="n"/>
      <c r="F66" s="41" t="inlineStr">
        <is>
          <t>Common</t>
        </is>
      </c>
      <c r="G66" s="41" t="n">
        <v>0</v>
      </c>
      <c r="H66" s="41" t="n">
        <v>1</v>
      </c>
      <c r="I66" s="41" t="n">
        <v>1</v>
      </c>
      <c r="J66" s="41" t="n">
        <v>12</v>
      </c>
      <c r="K66" s="42" t="inlineStr">
        <is>
          <t>Armor 2</t>
        </is>
      </c>
      <c r="L66" s="41" t="n"/>
      <c r="M66" s="41" t="inlineStr">
        <is>
          <t>Xenarthran (Beast)</t>
        </is>
      </c>
      <c r="N66" s="41" t="inlineStr">
        <is>
          <t>Sloth &amp; Armadillo</t>
        </is>
      </c>
      <c r="O66" s="41" t="inlineStr">
        <is>
          <t>Any</t>
        </is>
      </c>
      <c r="P66" s="42" t="inlineStr">
        <is>
          <t>Plain unit (one simple skill)</t>
        </is>
      </c>
      <c r="Q66" s="41" t="inlineStr">
        <is>
          <t>Base</t>
        </is>
      </c>
    </row>
    <row r="67" ht="15" customHeight="1" s="39">
      <c r="A67" s="41" t="inlineStr">
        <is>
          <t>Base</t>
        </is>
      </c>
      <c r="B67" s="41" t="n"/>
      <c r="C67" s="41" t="inlineStr">
        <is>
          <t>Garden Snail</t>
        </is>
      </c>
      <c r="D67" s="41" t="inlineStr">
        <is>
          <t>garden-snail</t>
        </is>
      </c>
      <c r="E67" s="41" t="n"/>
      <c r="F67" s="41" t="inlineStr">
        <is>
          <t>Starter</t>
        </is>
      </c>
      <c r="G67" s="41" t="n">
        <v>0</v>
      </c>
      <c r="H67" s="41" t="n">
        <v>0</v>
      </c>
      <c r="I67" s="41" t="n">
        <v>1</v>
      </c>
      <c r="J67" s="41" t="n">
        <v>6</v>
      </c>
      <c r="K67" s="42" t="inlineStr">
        <is>
          <t>Armor 1</t>
        </is>
      </c>
      <c r="L67" s="41" t="n"/>
      <c r="M67" s="41" t="inlineStr">
        <is>
          <t>Mollusc (Aquatic)</t>
        </is>
      </c>
      <c r="N67" s="41" t="inlineStr">
        <is>
          <t>Snail &amp; Slug</t>
        </is>
      </c>
      <c r="O67" s="41" t="inlineStr">
        <is>
          <t>Any</t>
        </is>
      </c>
      <c r="P67" s="42" t="inlineStr">
        <is>
          <t>Critter starter</t>
        </is>
      </c>
      <c r="Q67" s="41" t="inlineStr">
        <is>
          <t>Base</t>
        </is>
      </c>
    </row>
    <row r="68" ht="15" customHeight="1" s="39">
      <c r="A68" s="41" t="inlineStr">
        <is>
          <t>Base</t>
        </is>
      </c>
      <c r="B68" s="41" t="n"/>
      <c r="C68" s="41" t="inlineStr">
        <is>
          <t>Crossed-Eyes</t>
        </is>
      </c>
      <c r="D68" s="41" t="inlineStr">
        <is>
          <t>crossed-eyes</t>
        </is>
      </c>
      <c r="E68" s="41" t="n"/>
      <c r="F68" s="41" t="inlineStr">
        <is>
          <t>Starter</t>
        </is>
      </c>
      <c r="G68" s="41" t="n">
        <v>0</v>
      </c>
      <c r="H68" s="41" t="n">
        <v>0</v>
      </c>
      <c r="I68" s="41" t="n">
        <v>2</v>
      </c>
      <c r="J68" s="41" t="n">
        <v>3</v>
      </c>
      <c r="K68" s="42" t="inlineStr">
        <is>
          <t>Flying</t>
        </is>
      </c>
      <c r="L68" s="41" t="n"/>
      <c r="M68" s="41" t="inlineStr">
        <is>
          <t>Bird</t>
        </is>
      </c>
      <c r="N68" s="41" t="inlineStr">
        <is>
          <t>Songbird</t>
        </is>
      </c>
      <c r="O68" s="41" t="inlineStr">
        <is>
          <t>Any</t>
        </is>
      </c>
      <c r="P68" s="42" t="inlineStr">
        <is>
          <t>Shared basic set</t>
        </is>
      </c>
      <c r="Q68" s="41" t="inlineStr">
        <is>
          <t>Base</t>
        </is>
      </c>
    </row>
    <row r="69" ht="15" customHeight="1" s="39">
      <c r="A69" s="41" t="inlineStr">
        <is>
          <t>Base</t>
        </is>
      </c>
      <c r="B69" s="41" t="n"/>
      <c r="C69" s="41" t="inlineStr">
        <is>
          <t>Sparrow Chick</t>
        </is>
      </c>
      <c r="D69" s="41" t="inlineStr">
        <is>
          <t>sparrow-chick</t>
        </is>
      </c>
      <c r="E69" s="41" t="n"/>
      <c r="F69" s="41" t="inlineStr">
        <is>
          <t>Starter</t>
        </is>
      </c>
      <c r="G69" s="41" t="n">
        <v>0</v>
      </c>
      <c r="H69" s="41" t="n">
        <v>0</v>
      </c>
      <c r="I69" s="41" t="n">
        <v>1</v>
      </c>
      <c r="J69" s="41" t="n">
        <v>2</v>
      </c>
      <c r="K69" s="42" t="inlineStr">
        <is>
          <t>Flying, Diurnal</t>
        </is>
      </c>
      <c r="L69" s="41" t="n"/>
      <c r="M69" s="41" t="inlineStr">
        <is>
          <t>Bird</t>
        </is>
      </c>
      <c r="N69" s="41" t="inlineStr">
        <is>
          <t>Songbird</t>
        </is>
      </c>
      <c r="O69" s="41" t="inlineStr">
        <is>
          <t>Any</t>
        </is>
      </c>
      <c r="P69" s="42" t="inlineStr">
        <is>
          <t>Critter starter</t>
        </is>
      </c>
      <c r="Q69" s="41" t="inlineStr">
        <is>
          <t>Base</t>
        </is>
      </c>
    </row>
    <row r="70" ht="15" customHeight="1" s="39">
      <c r="A70" s="41" t="inlineStr">
        <is>
          <t>Base</t>
        </is>
      </c>
      <c r="B70" s="41" t="n"/>
      <c r="C70" s="41" t="inlineStr">
        <is>
          <t>Courier Pigeon</t>
        </is>
      </c>
      <c r="D70" s="41" t="inlineStr">
        <is>
          <t>courier-pigeon</t>
        </is>
      </c>
      <c r="E70" s="41" t="n"/>
      <c r="F70" s="41" t="inlineStr">
        <is>
          <t>Common</t>
        </is>
      </c>
      <c r="G70" s="41" t="n">
        <v>0</v>
      </c>
      <c r="H70" s="41" t="n">
        <v>0</v>
      </c>
      <c r="I70" s="41" t="n">
        <v>1</v>
      </c>
      <c r="J70" s="41" t="n">
        <v>2</v>
      </c>
      <c r="K70" s="42" t="inlineStr">
        <is>
          <t>Flying, Draw 1</t>
        </is>
      </c>
      <c r="L70" s="41" t="n"/>
      <c r="M70" s="41" t="inlineStr">
        <is>
          <t>Bird</t>
        </is>
      </c>
      <c r="N70" s="41" t="inlineStr">
        <is>
          <t>Songbird</t>
        </is>
      </c>
      <c r="O70" s="41" t="inlineStr">
        <is>
          <t>Any</t>
        </is>
      </c>
      <c r="P70" s="42" t="inlineStr">
        <is>
          <t>Given on purpose: every deck has a draw</t>
        </is>
      </c>
      <c r="Q70" s="41" t="inlineStr">
        <is>
          <t>Base</t>
        </is>
      </c>
    </row>
    <row r="71" ht="15" customHeight="1" s="39">
      <c r="A71" s="41" t="inlineStr">
        <is>
          <t>Base</t>
        </is>
      </c>
      <c r="B71" s="41" t="n"/>
      <c r="C71" s="41" t="inlineStr">
        <is>
          <t>Toucan Courier</t>
        </is>
      </c>
      <c r="D71" s="41" t="inlineStr">
        <is>
          <t>toucan-courier</t>
        </is>
      </c>
      <c r="E71" s="41" t="n"/>
      <c r="F71" s="41" t="inlineStr">
        <is>
          <t>Common</t>
        </is>
      </c>
      <c r="G71" s="41" t="n">
        <v>0</v>
      </c>
      <c r="H71" s="41" t="n">
        <v>0</v>
      </c>
      <c r="I71" s="41" t="n">
        <v>1</v>
      </c>
      <c r="J71" s="41" t="n">
        <v>4</v>
      </c>
      <c r="K71" s="42" t="inlineStr">
        <is>
          <t>Diurnal, Worthy 1</t>
        </is>
      </c>
      <c r="L71" s="41" t="n"/>
      <c r="M71" s="41" t="inlineStr">
        <is>
          <t>Bird</t>
        </is>
      </c>
      <c r="N71" s="41" t="inlineStr">
        <is>
          <t>Songbird</t>
        </is>
      </c>
      <c r="O71" s="41" t="inlineStr">
        <is>
          <t>Rainforest</t>
        </is>
      </c>
      <c r="P71" s="42" t="inlineStr">
        <is>
          <t>Plain unit</t>
        </is>
      </c>
      <c r="Q71" s="41" t="inlineStr">
        <is>
          <t>Base</t>
        </is>
      </c>
    </row>
    <row r="72" ht="15" customHeight="1" s="39">
      <c r="A72" s="41" t="inlineStr">
        <is>
          <t>Base</t>
        </is>
      </c>
      <c r="B72" s="41" t="n"/>
      <c r="C72" s="41" t="inlineStr">
        <is>
          <t>Thornwood Palisade</t>
        </is>
      </c>
      <c r="D72" s="41" t="inlineStr">
        <is>
          <t>thornwood-palisade</t>
        </is>
      </c>
      <c r="E72" s="41" t="n"/>
      <c r="F72" s="41" t="inlineStr">
        <is>
          <t>Rare</t>
        </is>
      </c>
      <c r="G72" s="41" t="n">
        <v>1</v>
      </c>
      <c r="H72" s="41" t="n">
        <v>1</v>
      </c>
      <c r="I72" s="41" t="n">
        <v>4</v>
      </c>
      <c r="J72" s="41" t="n">
        <v>22</v>
      </c>
      <c r="K72" s="42" t="inlineStr">
        <is>
          <t>Counterattack, Spiteful 2</t>
        </is>
      </c>
      <c r="L72" s="41" t="n"/>
      <c r="M72" s="41" t="inlineStr">
        <is>
          <t>—</t>
        </is>
      </c>
      <c r="N72" s="41" t="inlineStr">
        <is>
          <t>Tree &amp; Plant</t>
        </is>
      </c>
      <c r="O72" s="41" t="inlineStr">
        <is>
          <t>Forest</t>
        </is>
      </c>
      <c r="P72" s="42" t="inlineStr">
        <is>
          <t>Plain wall</t>
        </is>
      </c>
      <c r="Q72" s="41" t="inlineStr">
        <is>
          <t>Base</t>
        </is>
      </c>
    </row>
    <row r="73" ht="15" customHeight="1" s="39">
      <c r="A73" s="41" t="inlineStr">
        <is>
          <t>Base</t>
        </is>
      </c>
      <c r="B73" s="41" t="n"/>
      <c r="C73" s="41" t="inlineStr">
        <is>
          <t>Old Willow of the Ford</t>
        </is>
      </c>
      <c r="D73" s="41" t="inlineStr">
        <is>
          <t>old-willow-of-the-ford</t>
        </is>
      </c>
      <c r="E73" s="41" t="n"/>
      <c r="F73" s="41" t="inlineStr">
        <is>
          <t>Legendary</t>
        </is>
      </c>
      <c r="G73" s="41" t="n">
        <v>3</v>
      </c>
      <c r="H73" s="41" t="n">
        <v>4</v>
      </c>
      <c r="I73" s="41" t="n">
        <v>6</v>
      </c>
      <c r="J73" s="41" t="n">
        <v>40</v>
      </c>
      <c r="K73" s="42" t="inlineStr">
        <is>
          <t>Regeneration 3, Lumber when Ready 1</t>
        </is>
      </c>
      <c r="L73" s="41" t="n"/>
      <c r="M73" s="41" t="inlineStr">
        <is>
          <t>Plant</t>
        </is>
      </c>
      <c r="N73" s="41" t="inlineStr">
        <is>
          <t>Tree &amp; Plant</t>
        </is>
      </c>
      <c r="O73" s="41" t="inlineStr">
        <is>
          <t>River</t>
        </is>
      </c>
      <c r="P73" s="42" t="inlineStr">
        <is>
          <t>Riverbank card, in both ally packs (the truce tree)</t>
        </is>
      </c>
      <c r="Q73" s="41" t="inlineStr">
        <is>
          <t>Base</t>
        </is>
      </c>
    </row>
    <row r="74" ht="15" customHeight="1" s="39">
      <c r="A74" s="41" t="inlineStr">
        <is>
          <t>Base</t>
        </is>
      </c>
      <c r="B74" s="41" t="n"/>
      <c r="C74" s="41" t="inlineStr">
        <is>
          <t>Ford Kingfisher</t>
        </is>
      </c>
      <c r="D74" s="41" t="inlineStr">
        <is>
          <t>ford-kingfisher</t>
        </is>
      </c>
      <c r="E74" s="41" t="n"/>
      <c r="F74" s="41" t="inlineStr">
        <is>
          <t>Uncommon</t>
        </is>
      </c>
      <c r="G74" s="41" t="n">
        <v>1</v>
      </c>
      <c r="H74" s="41" t="n">
        <v>0</v>
      </c>
      <c r="I74" s="41" t="n">
        <v>3</v>
      </c>
      <c r="J74" s="41" t="n">
        <v>4</v>
      </c>
      <c r="K74" s="42" t="inlineStr">
        <is>
          <t>Flying, Pounce 2</t>
        </is>
      </c>
      <c r="L74" s="41" t="n"/>
      <c r="M74" s="41" t="inlineStr">
        <is>
          <t>Bird</t>
        </is>
      </c>
      <c r="N74" s="41" t="inlineStr">
        <is>
          <t>Waterbird</t>
        </is>
      </c>
      <c r="O74" s="41" t="inlineStr">
        <is>
          <t>River</t>
        </is>
      </c>
      <c r="P74" s="42" t="inlineStr">
        <is>
          <t>Riverbank card, in both ally packs</t>
        </is>
      </c>
      <c r="Q74" s="41" t="inlineStr">
        <is>
          <t>Base</t>
        </is>
      </c>
    </row>
    <row r="75" ht="15" customHeight="1" s="39">
      <c r="A75" s="41" t="inlineStr">
        <is>
          <t>Base</t>
        </is>
      </c>
      <c r="B75" s="41" t="n"/>
      <c r="C75" s="41" t="inlineStr">
        <is>
          <t>Truce Heron</t>
        </is>
      </c>
      <c r="D75" s="41" t="inlineStr">
        <is>
          <t>truce-heron</t>
        </is>
      </c>
      <c r="E75" s="41" t="n"/>
      <c r="F75" s="41" t="inlineStr">
        <is>
          <t>Rare</t>
        </is>
      </c>
      <c r="G75" s="41" t="n">
        <v>1</v>
      </c>
      <c r="H75" s="41" t="n">
        <v>2</v>
      </c>
      <c r="I75" s="41" t="n">
        <v>3</v>
      </c>
      <c r="J75" s="41" t="n">
        <v>14</v>
      </c>
      <c r="K75" s="42" t="inlineStr">
        <is>
          <t>Flying, Guardian</t>
        </is>
      </c>
      <c r="L75" s="41" t="n"/>
      <c r="M75" s="41" t="inlineStr">
        <is>
          <t>Bird</t>
        </is>
      </c>
      <c r="N75" s="41" t="inlineStr">
        <is>
          <t>Waterbird</t>
        </is>
      </c>
      <c r="O75" s="41" t="inlineStr">
        <is>
          <t>River</t>
        </is>
      </c>
      <c r="P75" s="42" t="inlineStr">
        <is>
          <t>Riverbank card, in both ally packs</t>
        </is>
      </c>
      <c r="Q75" s="41" t="inlineStr">
        <is>
          <t>Base</t>
        </is>
      </c>
    </row>
    <row r="76" ht="15" customHeight="1" s="39">
      <c r="A76" s="41" t="inlineStr">
        <is>
          <t>Base</t>
        </is>
      </c>
      <c r="B76" s="41" t="n"/>
      <c r="C76" s="41" t="inlineStr">
        <is>
          <t>Timber Wolf Pack Leader</t>
        </is>
      </c>
      <c r="D76" s="41" t="inlineStr">
        <is>
          <t>timber-wolf-pack</t>
        </is>
      </c>
      <c r="E76" s="41" t="n"/>
      <c r="F76" s="41" t="inlineStr">
        <is>
          <t>Common</t>
        </is>
      </c>
      <c r="G76" s="41" t="n">
        <v>2</v>
      </c>
      <c r="H76" s="41" t="n">
        <v>1</v>
      </c>
      <c r="I76" s="41" t="n">
        <v>4</v>
      </c>
      <c r="J76" s="41" t="n">
        <v>14</v>
      </c>
      <c r="K76" s="42" t="inlineStr">
        <is>
          <t>—</t>
        </is>
      </c>
      <c r="L76" s="41" t="n"/>
      <c r="M76" s="41" t="inlineStr">
        <is>
          <t>Canid (Beast)</t>
        </is>
      </c>
      <c r="N76" s="41" t="inlineStr">
        <is>
          <t>Wolf</t>
        </is>
      </c>
      <c r="O76" s="41" t="inlineStr">
        <is>
          <t>Taiga</t>
        </is>
      </c>
      <c r="P76" s="42" t="inlineStr">
        <is>
          <t>Plain unit (vanilla)</t>
        </is>
      </c>
      <c r="Q76" s="41" t="inlineStr">
        <is>
          <t>Base</t>
        </is>
      </c>
    </row>
    <row r="77" ht="15" customHeight="1" s="39">
      <c r="A77" s="41" t="inlineStr">
        <is>
          <t>Base</t>
        </is>
      </c>
      <c r="B77" s="41" t="n"/>
      <c r="C77" s="41" t="inlineStr">
        <is>
          <t>Compost Grub</t>
        </is>
      </c>
      <c r="D77" s="41" t="inlineStr">
        <is>
          <t>compost-grub</t>
        </is>
      </c>
      <c r="E77" s="41" t="n"/>
      <c r="F77" s="41" t="inlineStr">
        <is>
          <t>Common</t>
        </is>
      </c>
      <c r="G77" s="41" t="n">
        <v>0</v>
      </c>
      <c r="H77" s="41" t="n">
        <v>0</v>
      </c>
      <c r="I77" s="41" t="n">
        <v>1</v>
      </c>
      <c r="J77" s="41" t="n">
        <v>10</v>
      </c>
      <c r="K77" s="42" t="inlineStr">
        <is>
          <t>—</t>
        </is>
      </c>
      <c r="L77" s="41" t="n"/>
      <c r="M77" s="41" t="inlineStr">
        <is>
          <t>Annelid (Crawler)</t>
        </is>
      </c>
      <c r="N77" s="41" t="inlineStr">
        <is>
          <t>Worm &amp; Leech</t>
        </is>
      </c>
      <c r="O77" s="41" t="inlineStr">
        <is>
          <t>Any</t>
        </is>
      </c>
      <c r="P77" s="42" t="inlineStr">
        <is>
          <t>Plain unit (vanilla)</t>
        </is>
      </c>
      <c r="Q77" s="41" t="inlineStr">
        <is>
          <t>Base</t>
        </is>
      </c>
    </row>
    <row r="78" ht="15" customHeight="1" s="39">
      <c r="A78" s="44" t="inlineStr">
        <is>
          <t>Faction · Otters</t>
        </is>
      </c>
      <c r="B78" s="44" t="n"/>
      <c r="C78" s="44" t="inlineStr">
        <is>
          <t>Fleetfoot'd</t>
        </is>
      </c>
      <c r="D78" s="44" t="inlineStr">
        <is>
          <t>fleetfootd</t>
        </is>
      </c>
      <c r="E78" s="44" t="n"/>
      <c r="F78" s="44" t="inlineStr">
        <is>
          <t>Starter</t>
        </is>
      </c>
      <c r="G78" s="44" t="n">
        <v>0</v>
      </c>
      <c r="H78" s="44" t="n">
        <v>0</v>
      </c>
      <c r="I78" s="44" t="n">
        <v>2</v>
      </c>
      <c r="J78" s="44" t="n">
        <v>4</v>
      </c>
      <c r="K78" s="45" t="inlineStr">
        <is>
          <t>Quick</t>
        </is>
      </c>
      <c r="L78" s="44" t="n"/>
      <c r="M78" s="44" t="inlineStr">
        <is>
          <t>Mustelid (Beast)</t>
        </is>
      </c>
      <c r="N78" s="44" t="inlineStr">
        <is>
          <t>Otter</t>
        </is>
      </c>
      <c r="O78" s="44" t="inlineStr">
        <is>
          <t>River</t>
        </is>
      </c>
      <c r="P78" s="45" t="inlineStr">
        <is>
          <t>Rivergate Legion (Otter ally pack)</t>
        </is>
      </c>
      <c r="Q78" s="44" t="inlineStr">
        <is>
          <t>Faction</t>
        </is>
      </c>
    </row>
    <row r="79" ht="15" customHeight="1" s="39">
      <c r="A79" s="44" t="inlineStr">
        <is>
          <t>Faction · Otters</t>
        </is>
      </c>
      <c r="B79" s="44" t="n"/>
      <c r="C79" s="44" t="inlineStr">
        <is>
          <t>Otter Guard</t>
        </is>
      </c>
      <c r="D79" s="44" t="inlineStr">
        <is>
          <t>otter-guard</t>
        </is>
      </c>
      <c r="E79" s="44" t="n"/>
      <c r="F79" s="44" t="inlineStr">
        <is>
          <t>Starter</t>
        </is>
      </c>
      <c r="G79" s="44" t="n">
        <v>0</v>
      </c>
      <c r="H79" s="44" t="n">
        <v>1</v>
      </c>
      <c r="I79" s="44" t="n">
        <v>3</v>
      </c>
      <c r="J79" s="44" t="n">
        <v>8</v>
      </c>
      <c r="K79" s="45" t="inlineStr">
        <is>
          <t>—</t>
        </is>
      </c>
      <c r="L79" s="44" t="n"/>
      <c r="M79" s="44" t="inlineStr">
        <is>
          <t>Mustelid (Beast)</t>
        </is>
      </c>
      <c r="N79" s="44" t="inlineStr">
        <is>
          <t>Otter</t>
        </is>
      </c>
      <c r="O79" s="44" t="inlineStr">
        <is>
          <t>River</t>
        </is>
      </c>
      <c r="P79" s="45" t="inlineStr">
        <is>
          <t>Rivergate Legion (Otter ally pack)</t>
        </is>
      </c>
      <c r="Q79" s="44" t="inlineStr">
        <is>
          <t>Faction</t>
        </is>
      </c>
    </row>
    <row r="80" ht="15" customHeight="1" s="39">
      <c r="A80" s="44" t="inlineStr">
        <is>
          <t>Faction · Otters</t>
        </is>
      </c>
      <c r="B80" s="44" t="n"/>
      <c r="C80" s="44" t="inlineStr">
        <is>
          <t>Otter Kit</t>
        </is>
      </c>
      <c r="D80" s="44" t="inlineStr">
        <is>
          <t>otter-kit</t>
        </is>
      </c>
      <c r="E80" s="44" t="n"/>
      <c r="F80" s="44" t="inlineStr">
        <is>
          <t>Starter</t>
        </is>
      </c>
      <c r="G80" s="44" t="n">
        <v>0</v>
      </c>
      <c r="H80" s="44" t="n">
        <v>0</v>
      </c>
      <c r="I80" s="44" t="n">
        <v>1</v>
      </c>
      <c r="J80" s="44" t="n">
        <v>3</v>
      </c>
      <c r="K80" s="45" t="inlineStr">
        <is>
          <t>—</t>
        </is>
      </c>
      <c r="L80" s="44" t="n"/>
      <c r="M80" s="44" t="inlineStr">
        <is>
          <t>Mustelid (Beast)</t>
        </is>
      </c>
      <c r="N80" s="44" t="inlineStr">
        <is>
          <t>Otter</t>
        </is>
      </c>
      <c r="O80" s="44" t="inlineStr">
        <is>
          <t>River</t>
        </is>
      </c>
      <c r="P80" s="45" t="inlineStr">
        <is>
          <t>Rivergate Legion (Otter ally pack)</t>
        </is>
      </c>
      <c r="Q80" s="44" t="inlineStr">
        <is>
          <t>Faction</t>
        </is>
      </c>
    </row>
    <row r="81" ht="15" customHeight="1" s="39">
      <c r="A81" s="44" t="inlineStr">
        <is>
          <t>Faction · Otters</t>
        </is>
      </c>
      <c r="B81" s="44" t="n"/>
      <c r="C81" s="44" t="inlineStr">
        <is>
          <t>Otter Paddler</t>
        </is>
      </c>
      <c r="D81" s="44" t="inlineStr">
        <is>
          <t>otter-paddler</t>
        </is>
      </c>
      <c r="E81" s="44" t="n"/>
      <c r="F81" s="44" t="inlineStr">
        <is>
          <t>Starter</t>
        </is>
      </c>
      <c r="G81" s="44" t="n">
        <v>0</v>
      </c>
      <c r="H81" s="44" t="n">
        <v>0</v>
      </c>
      <c r="I81" s="44" t="n">
        <v>2</v>
      </c>
      <c r="J81" s="44" t="n">
        <v>5</v>
      </c>
      <c r="K81" s="45" t="inlineStr">
        <is>
          <t>—</t>
        </is>
      </c>
      <c r="L81" s="44" t="n"/>
      <c r="M81" s="44" t="inlineStr">
        <is>
          <t>Mustelid (Beast)</t>
        </is>
      </c>
      <c r="N81" s="44" t="inlineStr">
        <is>
          <t>Otter</t>
        </is>
      </c>
      <c r="O81" s="44" t="inlineStr">
        <is>
          <t>River</t>
        </is>
      </c>
      <c r="P81" s="45" t="inlineStr">
        <is>
          <t>Rivergate Legion (Otter ally pack)</t>
        </is>
      </c>
      <c r="Q81" s="44" t="inlineStr">
        <is>
          <t>Faction</t>
        </is>
      </c>
    </row>
    <row r="82" ht="15" customHeight="1" s="39">
      <c r="A82" s="44" t="inlineStr">
        <is>
          <t>Faction · Otters</t>
        </is>
      </c>
      <c r="B82" s="44" t="n"/>
      <c r="C82" s="44" t="inlineStr">
        <is>
          <t>Helmeted Otter</t>
        </is>
      </c>
      <c r="D82" s="44" t="inlineStr">
        <is>
          <t>helmeted-otter</t>
        </is>
      </c>
      <c r="E82" s="44" t="n"/>
      <c r="F82" s="44" t="inlineStr">
        <is>
          <t>Common</t>
        </is>
      </c>
      <c r="G82" s="44" t="n">
        <v>0</v>
      </c>
      <c r="H82" s="44" t="n">
        <v>1</v>
      </c>
      <c r="I82" s="44" t="n">
        <v>2</v>
      </c>
      <c r="J82" s="44" t="n">
        <v>8</v>
      </c>
      <c r="K82" s="45" t="inlineStr">
        <is>
          <t>Helmet</t>
        </is>
      </c>
      <c r="L82" s="44" t="n"/>
      <c r="M82" s="44" t="inlineStr">
        <is>
          <t>Mustelid (Beast)</t>
        </is>
      </c>
      <c r="N82" s="44" t="inlineStr">
        <is>
          <t>Otter</t>
        </is>
      </c>
      <c r="O82" s="44" t="inlineStr">
        <is>
          <t>River</t>
        </is>
      </c>
      <c r="P82" s="45" t="inlineStr">
        <is>
          <t>Rivergate Legion (Otter ally pack)</t>
        </is>
      </c>
      <c r="Q82" s="44" t="inlineStr">
        <is>
          <t>Faction</t>
        </is>
      </c>
    </row>
    <row r="83" ht="15" customHeight="1" s="39">
      <c r="A83" s="44" t="inlineStr">
        <is>
          <t>Faction · Otters</t>
        </is>
      </c>
      <c r="B83" s="44" t="n"/>
      <c r="C83" s="44" t="inlineStr">
        <is>
          <t>Otter Ferryman</t>
        </is>
      </c>
      <c r="D83" s="44" t="inlineStr">
        <is>
          <t>otter-ferryman</t>
        </is>
      </c>
      <c r="E83" s="44" t="n"/>
      <c r="F83" s="44" t="inlineStr">
        <is>
          <t>Common</t>
        </is>
      </c>
      <c r="G83" s="44" t="n">
        <v>0</v>
      </c>
      <c r="H83" s="44" t="n">
        <v>1</v>
      </c>
      <c r="I83" s="44" t="n">
        <v>3</v>
      </c>
      <c r="J83" s="44" t="n">
        <v>5</v>
      </c>
      <c r="K83" s="45" t="inlineStr">
        <is>
          <t>Tide</t>
        </is>
      </c>
      <c r="L83" s="44" t="n"/>
      <c r="M83" s="44" t="inlineStr">
        <is>
          <t>Mustelid (Beast)</t>
        </is>
      </c>
      <c r="N83" s="44" t="inlineStr">
        <is>
          <t>Otter</t>
        </is>
      </c>
      <c r="O83" s="44" t="inlineStr">
        <is>
          <t>River</t>
        </is>
      </c>
      <c r="P83" s="45" t="inlineStr">
        <is>
          <t>Rivergate Legion (Otter ally pack)</t>
        </is>
      </c>
      <c r="Q83" s="44" t="inlineStr">
        <is>
          <t>Faction</t>
        </is>
      </c>
    </row>
    <row r="84" ht="15" customHeight="1" s="39">
      <c r="A84" s="44" t="inlineStr">
        <is>
          <t>Faction · Otters</t>
        </is>
      </c>
      <c r="B84" s="44" t="n"/>
      <c r="C84" s="44" t="inlineStr">
        <is>
          <t>Otter Netmender</t>
        </is>
      </c>
      <c r="D84" s="44" t="inlineStr">
        <is>
          <t>otter-netmender</t>
        </is>
      </c>
      <c r="E84" s="44" t="n"/>
      <c r="F84" s="44" t="inlineStr">
        <is>
          <t>Common</t>
        </is>
      </c>
      <c r="G84" s="44" t="n">
        <v>0</v>
      </c>
      <c r="H84" s="44" t="n">
        <v>0</v>
      </c>
      <c r="I84" s="44" t="n">
        <v>2</v>
      </c>
      <c r="J84" s="44" t="n">
        <v>4</v>
      </c>
      <c r="K84" s="45" t="inlineStr">
        <is>
          <t>Armor 1</t>
        </is>
      </c>
      <c r="L84" s="44" t="n"/>
      <c r="M84" s="44" t="inlineStr">
        <is>
          <t>Mustelid (Beast)</t>
        </is>
      </c>
      <c r="N84" s="44" t="inlineStr">
        <is>
          <t>Otter</t>
        </is>
      </c>
      <c r="O84" s="44" t="inlineStr">
        <is>
          <t>River</t>
        </is>
      </c>
      <c r="P84" s="45" t="inlineStr">
        <is>
          <t>Rivergate Legion (Otter ally pack)</t>
        </is>
      </c>
      <c r="Q84" s="44" t="inlineStr">
        <is>
          <t>Faction</t>
        </is>
      </c>
    </row>
    <row r="85" ht="15" customHeight="1" s="39">
      <c r="A85" s="44" t="inlineStr">
        <is>
          <t>Faction · Otters</t>
        </is>
      </c>
      <c r="B85" s="44" t="n"/>
      <c r="C85" s="44" t="inlineStr">
        <is>
          <t>Otter Riverguard</t>
        </is>
      </c>
      <c r="D85" s="44" t="inlineStr">
        <is>
          <t>otter-riverguard</t>
        </is>
      </c>
      <c r="E85" s="44" t="n"/>
      <c r="F85" s="44" t="inlineStr">
        <is>
          <t>Common</t>
        </is>
      </c>
      <c r="G85" s="44" t="n">
        <v>2</v>
      </c>
      <c r="H85" s="44" t="n">
        <v>1</v>
      </c>
      <c r="I85" s="44" t="n">
        <v>5</v>
      </c>
      <c r="J85" s="44" t="n">
        <v>20</v>
      </c>
      <c r="K85" s="45" t="inlineStr">
        <is>
          <t>Armor 2</t>
        </is>
      </c>
      <c r="L85" s="44" t="n"/>
      <c r="M85" s="44" t="inlineStr">
        <is>
          <t>Mustelid (Beast)</t>
        </is>
      </c>
      <c r="N85" s="44" t="inlineStr">
        <is>
          <t>Otter</t>
        </is>
      </c>
      <c r="O85" s="44" t="inlineStr">
        <is>
          <t>River</t>
        </is>
      </c>
      <c r="P85" s="45" t="inlineStr">
        <is>
          <t>Rivergate Legion (Otter ally pack)</t>
        </is>
      </c>
      <c r="Q85" s="44" t="inlineStr">
        <is>
          <t>Faction</t>
        </is>
      </c>
    </row>
    <row r="86" ht="15" customHeight="1" s="39">
      <c r="A86" s="44" t="inlineStr">
        <is>
          <t>Faction · Otters</t>
        </is>
      </c>
      <c r="B86" s="44" t="n"/>
      <c r="C86" s="44" t="inlineStr">
        <is>
          <t>Rivergate Recruit</t>
        </is>
      </c>
      <c r="D86" s="44" t="inlineStr">
        <is>
          <t>rivergate-recruit</t>
        </is>
      </c>
      <c r="E86" s="44" t="n"/>
      <c r="F86" s="44" t="inlineStr">
        <is>
          <t>Common</t>
        </is>
      </c>
      <c r="G86" s="44" t="n">
        <v>0</v>
      </c>
      <c r="H86" s="44" t="n">
        <v>1</v>
      </c>
      <c r="I86" s="44" t="n">
        <v>2</v>
      </c>
      <c r="J86" s="44" t="n">
        <v>9</v>
      </c>
      <c r="K86" s="45" t="inlineStr">
        <is>
          <t>—</t>
        </is>
      </c>
      <c r="L86" s="44" t="n"/>
      <c r="M86" s="44" t="inlineStr">
        <is>
          <t>Mustelid (Beast)</t>
        </is>
      </c>
      <c r="N86" s="44" t="inlineStr">
        <is>
          <t>Otter</t>
        </is>
      </c>
      <c r="O86" s="44" t="inlineStr">
        <is>
          <t>River</t>
        </is>
      </c>
      <c r="P86" s="45" t="inlineStr">
        <is>
          <t>Rivergate Legion (Otter ally pack)</t>
        </is>
      </c>
      <c r="Q86" s="44" t="inlineStr">
        <is>
          <t>Faction</t>
        </is>
      </c>
    </row>
    <row r="87" ht="15" customHeight="1" s="39">
      <c r="A87" s="44" t="inlineStr">
        <is>
          <t>Faction · Otters</t>
        </is>
      </c>
      <c r="B87" s="44" t="n"/>
      <c r="C87" s="44" t="inlineStr">
        <is>
          <t>Shell-Cracker</t>
        </is>
      </c>
      <c r="D87" s="44" t="inlineStr">
        <is>
          <t>shell-cracker</t>
        </is>
      </c>
      <c r="E87" s="44" t="n"/>
      <c r="F87" s="44" t="inlineStr">
        <is>
          <t>Common</t>
        </is>
      </c>
      <c r="G87" s="44" t="n">
        <v>0</v>
      </c>
      <c r="H87" s="44" t="n">
        <v>0</v>
      </c>
      <c r="I87" s="44" t="n">
        <v>2</v>
      </c>
      <c r="J87" s="44" t="n">
        <v>5</v>
      </c>
      <c r="K87" s="45" t="inlineStr">
        <is>
          <t>—</t>
        </is>
      </c>
      <c r="L87" s="44" t="n"/>
      <c r="M87" s="44" t="inlineStr">
        <is>
          <t>Mustelid (Beast)</t>
        </is>
      </c>
      <c r="N87" s="44" t="inlineStr">
        <is>
          <t>Otter</t>
        </is>
      </c>
      <c r="O87" s="44" t="inlineStr">
        <is>
          <t>River</t>
        </is>
      </c>
      <c r="P87" s="45" t="inlineStr">
        <is>
          <t>Rivergate Legion (Otter ally pack)</t>
        </is>
      </c>
      <c r="Q87" s="44" t="inlineStr">
        <is>
          <t>Faction</t>
        </is>
      </c>
    </row>
    <row r="88" ht="15" customHeight="1" s="39">
      <c r="A88" s="44" t="inlineStr">
        <is>
          <t>Faction · Otters</t>
        </is>
      </c>
      <c r="B88" s="44" t="n"/>
      <c r="C88" s="44" t="inlineStr">
        <is>
          <t>Shellwright Apprentice</t>
        </is>
      </c>
      <c r="D88" s="44" t="inlineStr">
        <is>
          <t>shellwright-apprentice</t>
        </is>
      </c>
      <c r="E88" s="44" t="n"/>
      <c r="F88" s="44" t="inlineStr">
        <is>
          <t>Common</t>
        </is>
      </c>
      <c r="G88" s="44" t="n">
        <v>0</v>
      </c>
      <c r="H88" s="44" t="n">
        <v>1</v>
      </c>
      <c r="I88" s="44" t="n">
        <v>2</v>
      </c>
      <c r="J88" s="44" t="n">
        <v>6</v>
      </c>
      <c r="K88" s="45" t="inlineStr">
        <is>
          <t>Shell 1</t>
        </is>
      </c>
      <c r="L88" s="44" t="n"/>
      <c r="M88" s="44" t="inlineStr">
        <is>
          <t>Mustelid (Beast)</t>
        </is>
      </c>
      <c r="N88" s="44" t="inlineStr">
        <is>
          <t>Otter</t>
        </is>
      </c>
      <c r="O88" s="44" t="inlineStr">
        <is>
          <t>River</t>
        </is>
      </c>
      <c r="P88" s="45" t="inlineStr">
        <is>
          <t>Rivergate Legion (Otter ally pack)</t>
        </is>
      </c>
      <c r="Q88" s="44" t="inlineStr">
        <is>
          <t>Faction</t>
        </is>
      </c>
    </row>
    <row r="89" ht="15" customHeight="1" s="39">
      <c r="A89" s="44" t="inlineStr">
        <is>
          <t>Faction · Otters</t>
        </is>
      </c>
      <c r="B89" s="44" t="n"/>
      <c r="C89" s="44" t="inlineStr">
        <is>
          <t>Net Thrower</t>
        </is>
      </c>
      <c r="D89" s="44" t="inlineStr">
        <is>
          <t>net-thrower</t>
        </is>
      </c>
      <c r="E89" s="44" t="n"/>
      <c r="F89" s="44" t="inlineStr">
        <is>
          <t>Uncommon</t>
        </is>
      </c>
      <c r="G89" s="44" t="n">
        <v>1</v>
      </c>
      <c r="H89" s="44" t="n">
        <v>1</v>
      </c>
      <c r="I89" s="44" t="n">
        <v>4</v>
      </c>
      <c r="J89" s="44" t="n">
        <v>9</v>
      </c>
      <c r="K89" s="45" t="inlineStr">
        <is>
          <t>Boomerang</t>
        </is>
      </c>
      <c r="L89" s="44" t="n"/>
      <c r="M89" s="44" t="inlineStr">
        <is>
          <t>Mustelid (Beast)</t>
        </is>
      </c>
      <c r="N89" s="44" t="inlineStr">
        <is>
          <t>Otter</t>
        </is>
      </c>
      <c r="O89" s="44" t="inlineStr">
        <is>
          <t>River</t>
        </is>
      </c>
      <c r="P89" s="45" t="inlineStr">
        <is>
          <t>Rivergate Legion (Otter ally pack)</t>
        </is>
      </c>
      <c r="Q89" s="44" t="inlineStr">
        <is>
          <t>Faction</t>
        </is>
      </c>
    </row>
    <row r="90" ht="15" customHeight="1" s="39">
      <c r="A90" s="44" t="inlineStr">
        <is>
          <t>Faction · Otters</t>
        </is>
      </c>
      <c r="B90" s="44" t="n"/>
      <c r="C90" s="44" t="inlineStr">
        <is>
          <t>Otter Flag Bearer</t>
        </is>
      </c>
      <c r="D90" s="44" t="inlineStr">
        <is>
          <t>otter-flag-bearer</t>
        </is>
      </c>
      <c r="E90" s="44" t="n"/>
      <c r="F90" s="44" t="inlineStr">
        <is>
          <t>Uncommon</t>
        </is>
      </c>
      <c r="G90" s="44" t="n">
        <v>0</v>
      </c>
      <c r="H90" s="44" t="n">
        <v>1</v>
      </c>
      <c r="I90" s="44" t="n">
        <v>2</v>
      </c>
      <c r="J90" s="44" t="n">
        <v>6</v>
      </c>
      <c r="K90" s="45" t="inlineStr">
        <is>
          <t>Inspiring 1</t>
        </is>
      </c>
      <c r="L90" s="44" t="n"/>
      <c r="M90" s="44" t="inlineStr">
        <is>
          <t>Mustelid (Beast)</t>
        </is>
      </c>
      <c r="N90" s="44" t="inlineStr">
        <is>
          <t>Otter</t>
        </is>
      </c>
      <c r="O90" s="44" t="inlineStr">
        <is>
          <t>River</t>
        </is>
      </c>
      <c r="P90" s="45" t="inlineStr">
        <is>
          <t>Rivergate Legion (Otter ally pack)</t>
        </is>
      </c>
      <c r="Q90" s="44" t="inlineStr">
        <is>
          <t>Faction</t>
        </is>
      </c>
    </row>
    <row r="91" ht="15" customHeight="1" s="39">
      <c r="A91" s="44" t="inlineStr">
        <is>
          <t>Faction · Otters</t>
        </is>
      </c>
      <c r="B91" s="44" t="n"/>
      <c r="C91" s="44" t="inlineStr">
        <is>
          <t>Otter Lantern Bearer</t>
        </is>
      </c>
      <c r="D91" s="44" t="inlineStr">
        <is>
          <t>otter-lantern-bearer</t>
        </is>
      </c>
      <c r="E91" s="44" t="n"/>
      <c r="F91" s="44" t="inlineStr">
        <is>
          <t>Uncommon</t>
        </is>
      </c>
      <c r="G91" s="44" t="n">
        <v>0</v>
      </c>
      <c r="H91" s="44" t="n">
        <v>1</v>
      </c>
      <c r="I91" s="44" t="n">
        <v>3</v>
      </c>
      <c r="J91" s="44" t="n">
        <v>6</v>
      </c>
      <c r="K91" s="45" t="inlineStr">
        <is>
          <t>Lantern</t>
        </is>
      </c>
      <c r="L91" s="44" t="n"/>
      <c r="M91" s="44" t="inlineStr">
        <is>
          <t>Mustelid (Beast)</t>
        </is>
      </c>
      <c r="N91" s="44" t="inlineStr">
        <is>
          <t>Otter</t>
        </is>
      </c>
      <c r="O91" s="44" t="inlineStr">
        <is>
          <t>River</t>
        </is>
      </c>
      <c r="P91" s="45" t="inlineStr">
        <is>
          <t>Rivergate Legion (Otter ally pack)</t>
        </is>
      </c>
      <c r="Q91" s="44" t="inlineStr">
        <is>
          <t>Faction</t>
        </is>
      </c>
    </row>
    <row r="92" ht="15" customHeight="1" s="39">
      <c r="A92" s="44" t="inlineStr">
        <is>
          <t>Faction · Otters</t>
        </is>
      </c>
      <c r="B92" s="44" t="n"/>
      <c r="C92" s="44" t="inlineStr">
        <is>
          <t>Otter Shieldback</t>
        </is>
      </c>
      <c r="D92" s="44" t="inlineStr">
        <is>
          <t>otter-shieldback</t>
        </is>
      </c>
      <c r="E92" s="44" t="n"/>
      <c r="F92" s="44" t="inlineStr">
        <is>
          <t>Uncommon</t>
        </is>
      </c>
      <c r="G92" s="44" t="n">
        <v>1</v>
      </c>
      <c r="H92" s="44" t="n">
        <v>2</v>
      </c>
      <c r="I92" s="44" t="n">
        <v>4</v>
      </c>
      <c r="J92" s="44" t="n">
        <v>18</v>
      </c>
      <c r="K92" s="45" t="inlineStr">
        <is>
          <t>Bounty 1</t>
        </is>
      </c>
      <c r="L92" s="44" t="n"/>
      <c r="M92" s="44" t="inlineStr">
        <is>
          <t>Mustelid (Beast)</t>
        </is>
      </c>
      <c r="N92" s="44" t="inlineStr">
        <is>
          <t>Otter</t>
        </is>
      </c>
      <c r="O92" s="44" t="inlineStr">
        <is>
          <t>River</t>
        </is>
      </c>
      <c r="P92" s="45" t="inlineStr">
        <is>
          <t>Rivergate Legion (Otter ally pack)</t>
        </is>
      </c>
      <c r="Q92" s="44" t="inlineStr">
        <is>
          <t>Faction</t>
        </is>
      </c>
    </row>
    <row r="93" ht="15" customHeight="1" s="39">
      <c r="A93" s="44" t="inlineStr">
        <is>
          <t>Faction · Otters</t>
        </is>
      </c>
      <c r="B93" s="44" t="n"/>
      <c r="C93" s="44" t="inlineStr">
        <is>
          <t>Riverbed Diver</t>
        </is>
      </c>
      <c r="D93" s="44" t="inlineStr">
        <is>
          <t>riverbed-diver</t>
        </is>
      </c>
      <c r="E93" s="44" t="n"/>
      <c r="F93" s="44" t="inlineStr">
        <is>
          <t>Uncommon</t>
        </is>
      </c>
      <c r="G93" s="44" t="n">
        <v>1</v>
      </c>
      <c r="H93" s="44" t="n">
        <v>1</v>
      </c>
      <c r="I93" s="44" t="n">
        <v>3</v>
      </c>
      <c r="J93" s="44" t="n">
        <v>8</v>
      </c>
      <c r="K93" s="45" t="inlineStr">
        <is>
          <t>Evasive</t>
        </is>
      </c>
      <c r="L93" s="44" t="n"/>
      <c r="M93" s="44" t="inlineStr">
        <is>
          <t>Mustelid (Beast)</t>
        </is>
      </c>
      <c r="N93" s="44" t="inlineStr">
        <is>
          <t>Otter</t>
        </is>
      </c>
      <c r="O93" s="44" t="inlineStr">
        <is>
          <t>River</t>
        </is>
      </c>
      <c r="P93" s="45" t="inlineStr">
        <is>
          <t>Rivergate Legion (Otter ally pack)</t>
        </is>
      </c>
      <c r="Q93" s="44" t="inlineStr">
        <is>
          <t>Faction</t>
        </is>
      </c>
    </row>
    <row r="94" ht="15" customHeight="1" s="39">
      <c r="A94" s="44" t="inlineStr">
        <is>
          <t>Faction · Otters</t>
        </is>
      </c>
      <c r="B94" s="44" t="n"/>
      <c r="C94" s="44" t="inlineStr">
        <is>
          <t>Riverstone Slinger</t>
        </is>
      </c>
      <c r="D94" s="44" t="inlineStr">
        <is>
          <t>riverstone-slinger</t>
        </is>
      </c>
      <c r="E94" s="44" t="n"/>
      <c r="F94" s="44" t="inlineStr">
        <is>
          <t>Uncommon</t>
        </is>
      </c>
      <c r="G94" s="44" t="n">
        <v>0</v>
      </c>
      <c r="H94" s="44" t="n">
        <v>1</v>
      </c>
      <c r="I94" s="44" t="n">
        <v>3</v>
      </c>
      <c r="J94" s="44" t="n">
        <v>6</v>
      </c>
      <c r="K94" s="45" t="inlineStr">
        <is>
          <t>Reach</t>
        </is>
      </c>
      <c r="L94" s="44" t="n"/>
      <c r="M94" s="44" t="inlineStr">
        <is>
          <t>Mustelid (Beast)</t>
        </is>
      </c>
      <c r="N94" s="44" t="inlineStr">
        <is>
          <t>Otter</t>
        </is>
      </c>
      <c r="O94" s="44" t="inlineStr">
        <is>
          <t>River</t>
        </is>
      </c>
      <c r="P94" s="45" t="inlineStr">
        <is>
          <t>Rivergate Legion (Otter ally pack)</t>
        </is>
      </c>
      <c r="Q94" s="44" t="inlineStr">
        <is>
          <t>Faction</t>
        </is>
      </c>
    </row>
    <row r="95" ht="15" customHeight="1" s="39">
      <c r="A95" s="44" t="inlineStr">
        <is>
          <t>Faction · Otters</t>
        </is>
      </c>
      <c r="B95" s="44" t="n"/>
      <c r="C95" s="44" t="inlineStr">
        <is>
          <t>Optio of the Ford</t>
        </is>
      </c>
      <c r="D95" s="44" t="inlineStr">
        <is>
          <t>optio-of-the-ford</t>
        </is>
      </c>
      <c r="E95" s="44" t="n"/>
      <c r="F95" s="44" t="inlineStr">
        <is>
          <t>Rare</t>
        </is>
      </c>
      <c r="G95" s="44" t="n">
        <v>1</v>
      </c>
      <c r="H95" s="44" t="n">
        <v>1</v>
      </c>
      <c r="I95" s="44" t="n">
        <v>4</v>
      </c>
      <c r="J95" s="44" t="n">
        <v>12</v>
      </c>
      <c r="K95" s="45" t="inlineStr">
        <is>
          <t>Guardian</t>
        </is>
      </c>
      <c r="L95" s="44" t="n"/>
      <c r="M95" s="44" t="inlineStr">
        <is>
          <t>Mustelid (Beast)</t>
        </is>
      </c>
      <c r="N95" s="44" t="inlineStr">
        <is>
          <t>Otter</t>
        </is>
      </c>
      <c r="O95" s="44" t="inlineStr">
        <is>
          <t>River</t>
        </is>
      </c>
      <c r="P95" s="45" t="inlineStr">
        <is>
          <t>Rivergate Legion (Otter ally pack)</t>
        </is>
      </c>
      <c r="Q95" s="44" t="inlineStr">
        <is>
          <t>Faction</t>
        </is>
      </c>
    </row>
    <row r="96" ht="15" customHeight="1" s="39">
      <c r="A96" s="44" t="inlineStr">
        <is>
          <t>Faction · Otters</t>
        </is>
      </c>
      <c r="B96" s="44" t="n"/>
      <c r="C96" s="44" t="inlineStr">
        <is>
          <t>Otter Centurion</t>
        </is>
      </c>
      <c r="D96" s="44" t="inlineStr">
        <is>
          <t>otter-centurion</t>
        </is>
      </c>
      <c r="E96" s="44" t="n"/>
      <c r="F96" s="44" t="inlineStr">
        <is>
          <t>Rare</t>
        </is>
      </c>
      <c r="G96" s="44" t="n">
        <v>0</v>
      </c>
      <c r="H96" s="44" t="n">
        <v>1</v>
      </c>
      <c r="I96" s="44" t="n">
        <v>2</v>
      </c>
      <c r="J96" s="44" t="n">
        <v>8</v>
      </c>
      <c r="K96" s="45" t="inlineStr">
        <is>
          <t>Boomerang</t>
        </is>
      </c>
      <c r="L96" s="44" t="n"/>
      <c r="M96" s="44" t="inlineStr">
        <is>
          <t>Mustelid (Beast)</t>
        </is>
      </c>
      <c r="N96" s="44" t="inlineStr">
        <is>
          <t>Otter</t>
        </is>
      </c>
      <c r="O96" s="44" t="inlineStr">
        <is>
          <t>River</t>
        </is>
      </c>
      <c r="P96" s="45" t="inlineStr">
        <is>
          <t>Rivergate Legion (Otter ally pack)</t>
        </is>
      </c>
      <c r="Q96" s="44" t="inlineStr">
        <is>
          <t>Faction</t>
        </is>
      </c>
    </row>
    <row r="97" ht="15" customHeight="1" s="39">
      <c r="A97" s="44" t="inlineStr">
        <is>
          <t>Faction · Otters</t>
        </is>
      </c>
      <c r="B97" s="44" t="n"/>
      <c r="C97" s="44" t="inlineStr">
        <is>
          <t>Otter Royal Guard</t>
        </is>
      </c>
      <c r="D97" s="44" t="inlineStr">
        <is>
          <t>otter-royal-guard</t>
        </is>
      </c>
      <c r="E97" s="44" t="n"/>
      <c r="F97" s="44" t="inlineStr">
        <is>
          <t>Rare</t>
        </is>
      </c>
      <c r="G97" s="44" t="n">
        <v>1</v>
      </c>
      <c r="H97" s="44" t="n">
        <v>1</v>
      </c>
      <c r="I97" s="44" t="n">
        <v>2</v>
      </c>
      <c r="J97" s="44" t="n">
        <v>13</v>
      </c>
      <c r="K97" s="45" t="inlineStr">
        <is>
          <t>Guardian, Armor 1</t>
        </is>
      </c>
      <c r="L97" s="44" t="n"/>
      <c r="M97" s="44" t="inlineStr">
        <is>
          <t>Mustelid (Beast)</t>
        </is>
      </c>
      <c r="N97" s="44" t="inlineStr">
        <is>
          <t>Otter</t>
        </is>
      </c>
      <c r="O97" s="44" t="inlineStr">
        <is>
          <t>River</t>
        </is>
      </c>
      <c r="P97" s="45" t="inlineStr">
        <is>
          <t>Rivergate Legion (Otter ally pack)</t>
        </is>
      </c>
      <c r="Q97" s="44" t="inlineStr">
        <is>
          <t>Faction</t>
        </is>
      </c>
    </row>
    <row r="98" ht="15" customHeight="1" s="39">
      <c r="A98" s="44" t="inlineStr">
        <is>
          <t>Faction · Otters</t>
        </is>
      </c>
      <c r="B98" s="44" t="n"/>
      <c r="C98" s="44" t="inlineStr">
        <is>
          <t>Otter Scout</t>
        </is>
      </c>
      <c r="D98" s="44" t="inlineStr">
        <is>
          <t>otter-scout</t>
        </is>
      </c>
      <c r="E98" s="44" t="n"/>
      <c r="F98" s="44" t="inlineStr">
        <is>
          <t>Rare</t>
        </is>
      </c>
      <c r="G98" s="44" t="n">
        <v>0</v>
      </c>
      <c r="H98" s="44" t="n">
        <v>0</v>
      </c>
      <c r="I98" s="44" t="n">
        <v>2</v>
      </c>
      <c r="J98" s="44" t="n">
        <v>6</v>
      </c>
      <c r="K98" s="45" t="inlineStr">
        <is>
          <t>Worthy 1</t>
        </is>
      </c>
      <c r="L98" s="44" t="n"/>
      <c r="M98" s="44" t="inlineStr">
        <is>
          <t>Mustelid (Beast)</t>
        </is>
      </c>
      <c r="N98" s="44" t="inlineStr">
        <is>
          <t>Otter</t>
        </is>
      </c>
      <c r="O98" s="44" t="inlineStr">
        <is>
          <t>River</t>
        </is>
      </c>
      <c r="P98" s="45" t="inlineStr">
        <is>
          <t>Rivergate Legion (Otter ally pack)</t>
        </is>
      </c>
      <c r="Q98" s="44" t="inlineStr">
        <is>
          <t>Faction</t>
        </is>
      </c>
    </row>
    <row r="99" ht="15" customHeight="1" s="39">
      <c r="A99" s="44" t="inlineStr">
        <is>
          <t>Faction · Otters</t>
        </is>
      </c>
      <c r="B99" s="44" t="n"/>
      <c r="C99" s="44" t="inlineStr">
        <is>
          <t>Marshal of Rivergate</t>
        </is>
      </c>
      <c r="D99" s="44" t="inlineStr">
        <is>
          <t>marshal-of-rivergate</t>
        </is>
      </c>
      <c r="E99" s="44" t="n"/>
      <c r="F99" s="44" t="inlineStr">
        <is>
          <t>Epic</t>
        </is>
      </c>
      <c r="G99" s="44" t="n">
        <v>2</v>
      </c>
      <c r="H99" s="44" t="n">
        <v>2</v>
      </c>
      <c r="I99" s="44" t="n">
        <v>8</v>
      </c>
      <c r="J99" s="44" t="n">
        <v>26</v>
      </c>
      <c r="K99" s="45" t="inlineStr">
        <is>
          <t>Armor 2, Cleave 1</t>
        </is>
      </c>
      <c r="L99" s="44" t="n"/>
      <c r="M99" s="44" t="inlineStr">
        <is>
          <t>Mustelid (Beast)</t>
        </is>
      </c>
      <c r="N99" s="44" t="inlineStr">
        <is>
          <t>Otter</t>
        </is>
      </c>
      <c r="O99" s="44" t="inlineStr">
        <is>
          <t>River</t>
        </is>
      </c>
      <c r="P99" s="45" t="inlineStr">
        <is>
          <t>Rivergate Legion (Otter ally pack)</t>
        </is>
      </c>
      <c r="Q99" s="44" t="inlineStr">
        <is>
          <t>Faction</t>
        </is>
      </c>
    </row>
    <row r="100" ht="15" customHeight="1" s="39">
      <c r="A100" s="44" t="inlineStr">
        <is>
          <t>Faction · Otters</t>
        </is>
      </c>
      <c r="B100" s="44" t="n"/>
      <c r="C100" s="44" t="inlineStr">
        <is>
          <t>Rivergate Tribune</t>
        </is>
      </c>
      <c r="D100" s="44" t="inlineStr">
        <is>
          <t>rivergate-tribune</t>
        </is>
      </c>
      <c r="E100" s="44" t="n"/>
      <c r="F100" s="44" t="inlineStr">
        <is>
          <t>Heroic</t>
        </is>
      </c>
      <c r="G100" s="44" t="n">
        <v>3</v>
      </c>
      <c r="H100" s="44" t="n">
        <v>2</v>
      </c>
      <c r="I100" s="44" t="n">
        <v>8</v>
      </c>
      <c r="J100" s="44" t="n">
        <v>30</v>
      </c>
      <c r="K100" s="45" t="inlineStr">
        <is>
          <t>Armor 2, Kinship (Otter +1/+1)</t>
        </is>
      </c>
      <c r="L100" s="44" t="n"/>
      <c r="M100" s="44" t="inlineStr">
        <is>
          <t>Mustelid (Beast)</t>
        </is>
      </c>
      <c r="N100" s="44" t="inlineStr">
        <is>
          <t>Otter</t>
        </is>
      </c>
      <c r="O100" s="44" t="inlineStr">
        <is>
          <t>River</t>
        </is>
      </c>
      <c r="P100" s="45" t="inlineStr">
        <is>
          <t>Rivergate Legion (Otter ally pack)</t>
        </is>
      </c>
      <c r="Q100" s="44" t="inlineStr">
        <is>
          <t>Faction</t>
        </is>
      </c>
    </row>
    <row r="101" ht="15" customHeight="1" s="39">
      <c r="A101" s="41" t="inlineStr">
        <is>
          <t>Faction · Hummingbirds</t>
        </is>
      </c>
      <c r="B101" s="41" t="n"/>
      <c r="C101" s="41" t="inlineStr">
        <is>
          <t>Cobalt Fledgling</t>
        </is>
      </c>
      <c r="D101" s="41" t="inlineStr">
        <is>
          <t>cobalt-talon-fledgling</t>
        </is>
      </c>
      <c r="E101" s="41" t="n"/>
      <c r="F101" s="41" t="inlineStr">
        <is>
          <t>Starter</t>
        </is>
      </c>
      <c r="G101" s="41" t="n">
        <v>0</v>
      </c>
      <c r="H101" s="41" t="n">
        <v>0</v>
      </c>
      <c r="I101" s="41" t="n">
        <v>1</v>
      </c>
      <c r="J101" s="41" t="n">
        <v>2</v>
      </c>
      <c r="K101" s="42" t="inlineStr">
        <is>
          <t>Flying, Diurnal</t>
        </is>
      </c>
      <c r="L101" s="41" t="n"/>
      <c r="M101" s="41" t="inlineStr">
        <is>
          <t>Bird</t>
        </is>
      </c>
      <c r="N101" s="41" t="inlineStr">
        <is>
          <t>Hummingbird</t>
        </is>
      </c>
      <c r="O101" s="41" t="inlineStr">
        <is>
          <t>Painted cliffs</t>
        </is>
      </c>
      <c r="P101" s="42" t="inlineStr">
        <is>
          <t>Sunfeather Tribes (Hummingbird ally pack)</t>
        </is>
      </c>
      <c r="Q101" s="41" t="inlineStr">
        <is>
          <t>Faction</t>
        </is>
      </c>
    </row>
    <row r="102" ht="15" customHeight="1" s="39">
      <c r="A102" s="41" t="inlineStr">
        <is>
          <t>Faction · Hummingbirds</t>
        </is>
      </c>
      <c r="B102" s="41" t="n"/>
      <c r="C102" s="41" t="inlineStr">
        <is>
          <t>Cobalt Talon Skirmisher</t>
        </is>
      </c>
      <c r="D102" s="41" t="inlineStr">
        <is>
          <t>cobalt-talon-skirmisher</t>
        </is>
      </c>
      <c r="E102" s="41" t="n"/>
      <c r="F102" s="41" t="inlineStr">
        <is>
          <t>Starter</t>
        </is>
      </c>
      <c r="G102" s="41" t="n">
        <v>0</v>
      </c>
      <c r="H102" s="41" t="n">
        <v>1</v>
      </c>
      <c r="I102" s="41" t="n">
        <v>3</v>
      </c>
      <c r="J102" s="41" t="n">
        <v>6</v>
      </c>
      <c r="K102" s="42" t="inlineStr">
        <is>
          <t>Flying, Diurnal, Pierce 1</t>
        </is>
      </c>
      <c r="L102" s="41" t="n"/>
      <c r="M102" s="41" t="inlineStr">
        <is>
          <t>Bird</t>
        </is>
      </c>
      <c r="N102" s="41" t="inlineStr">
        <is>
          <t>Hummingbird</t>
        </is>
      </c>
      <c r="O102" s="41" t="inlineStr">
        <is>
          <t>Painted cliffs</t>
        </is>
      </c>
      <c r="P102" s="42" t="inlineStr">
        <is>
          <t>Sunfeather Tribes (Hummingbird ally pack)</t>
        </is>
      </c>
      <c r="Q102" s="41" t="inlineStr">
        <is>
          <t>Faction</t>
        </is>
      </c>
    </row>
    <row r="103" ht="15" customHeight="1" s="39">
      <c r="A103" s="41" t="inlineStr">
        <is>
          <t>Faction · Hummingbirds</t>
        </is>
      </c>
      <c r="B103" s="41" t="n"/>
      <c r="C103" s="41" t="inlineStr">
        <is>
          <t>Crimson Recruit</t>
        </is>
      </c>
      <c r="D103" s="41" t="inlineStr">
        <is>
          <t>crimson-wing-recruit</t>
        </is>
      </c>
      <c r="E103" s="41" t="n"/>
      <c r="F103" s="41" t="inlineStr">
        <is>
          <t>Starter</t>
        </is>
      </c>
      <c r="G103" s="41" t="n">
        <v>0</v>
      </c>
      <c r="H103" s="41" t="n">
        <v>0</v>
      </c>
      <c r="I103" s="41" t="n">
        <v>2</v>
      </c>
      <c r="J103" s="41" t="n">
        <v>3</v>
      </c>
      <c r="K103" s="42" t="inlineStr">
        <is>
          <t>Flying, Diurnal, Quick</t>
        </is>
      </c>
      <c r="L103" s="41" t="n"/>
      <c r="M103" s="41" t="inlineStr">
        <is>
          <t>Bird</t>
        </is>
      </c>
      <c r="N103" s="41" t="inlineStr">
        <is>
          <t>Hummingbird</t>
        </is>
      </c>
      <c r="O103" s="41" t="inlineStr">
        <is>
          <t>Painted cliffs</t>
        </is>
      </c>
      <c r="P103" s="42" t="inlineStr">
        <is>
          <t>Sunfeather Tribes (Hummingbird ally pack)</t>
        </is>
      </c>
      <c r="Q103" s="41" t="inlineStr">
        <is>
          <t>Faction</t>
        </is>
      </c>
    </row>
    <row r="104" ht="15" customHeight="1" s="39">
      <c r="A104" s="41" t="inlineStr">
        <is>
          <t>Faction · Hummingbirds</t>
        </is>
      </c>
      <c r="B104" s="41" t="n"/>
      <c r="C104" s="41" t="inlineStr">
        <is>
          <t>Crimson Wing Duelist Cadet</t>
        </is>
      </c>
      <c r="D104" s="41" t="inlineStr">
        <is>
          <t>crimson-wing-duelist-cadet</t>
        </is>
      </c>
      <c r="E104" s="41" t="n"/>
      <c r="F104" s="41" t="inlineStr">
        <is>
          <t>Starter</t>
        </is>
      </c>
      <c r="G104" s="41" t="n">
        <v>0</v>
      </c>
      <c r="H104" s="41" t="n">
        <v>1</v>
      </c>
      <c r="I104" s="41" t="n">
        <v>3</v>
      </c>
      <c r="J104" s="41" t="n">
        <v>5</v>
      </c>
      <c r="K104" s="42" t="inlineStr">
        <is>
          <t>Flying, Diurnal, Quick</t>
        </is>
      </c>
      <c r="L104" s="41" t="n"/>
      <c r="M104" s="41" t="inlineStr">
        <is>
          <t>Bird</t>
        </is>
      </c>
      <c r="N104" s="41" t="inlineStr">
        <is>
          <t>Hummingbird</t>
        </is>
      </c>
      <c r="O104" s="41" t="inlineStr">
        <is>
          <t>Painted cliffs</t>
        </is>
      </c>
      <c r="P104" s="42" t="inlineStr">
        <is>
          <t>Sunfeather Tribes (Hummingbird ally pack)</t>
        </is>
      </c>
      <c r="Q104" s="41" t="inlineStr">
        <is>
          <t>Faction</t>
        </is>
      </c>
    </row>
    <row r="105" ht="15" customHeight="1" s="39">
      <c r="A105" s="41" t="inlineStr">
        <is>
          <t>Faction · Hummingbirds</t>
        </is>
      </c>
      <c r="B105" s="41" t="n"/>
      <c r="C105" s="41" t="inlineStr">
        <is>
          <t>Dominion Nestguard</t>
        </is>
      </c>
      <c r="D105" s="41" t="inlineStr">
        <is>
          <t>dominion-nestguard</t>
        </is>
      </c>
      <c r="E105" s="41" t="n"/>
      <c r="F105" s="41" t="inlineStr">
        <is>
          <t>Starter</t>
        </is>
      </c>
      <c r="G105" s="41" t="n">
        <v>1</v>
      </c>
      <c r="H105" s="41" t="n">
        <v>1</v>
      </c>
      <c r="I105" s="41" t="n">
        <v>4</v>
      </c>
      <c r="J105" s="41" t="n">
        <v>9</v>
      </c>
      <c r="K105" s="42" t="inlineStr">
        <is>
          <t>Flying</t>
        </is>
      </c>
      <c r="L105" s="41" t="n"/>
      <c r="M105" s="41" t="inlineStr">
        <is>
          <t>Bird</t>
        </is>
      </c>
      <c r="N105" s="41" t="inlineStr">
        <is>
          <t>Hummingbird</t>
        </is>
      </c>
      <c r="O105" s="41" t="inlineStr">
        <is>
          <t>Painted cliffs</t>
        </is>
      </c>
      <c r="P105" s="42" t="inlineStr">
        <is>
          <t>Sunfeather Tribes (Hummingbird ally pack)</t>
        </is>
      </c>
      <c r="Q105" s="41" t="inlineStr">
        <is>
          <t>Faction</t>
        </is>
      </c>
    </row>
    <row r="106" ht="15" customHeight="1" s="39">
      <c r="A106" s="41" t="inlineStr">
        <is>
          <t>Faction · Hummingbirds</t>
        </is>
      </c>
      <c r="B106" s="41" t="n"/>
      <c r="C106" s="41" t="inlineStr">
        <is>
          <t>Gold-throated Acolyte</t>
        </is>
      </c>
      <c r="D106" s="41" t="inlineStr">
        <is>
          <t>gold-throated-acolyte</t>
        </is>
      </c>
      <c r="E106" s="41" t="n"/>
      <c r="F106" s="41" t="inlineStr">
        <is>
          <t>Starter</t>
        </is>
      </c>
      <c r="G106" s="41" t="n">
        <v>0</v>
      </c>
      <c r="H106" s="41" t="n">
        <v>0</v>
      </c>
      <c r="I106" s="41" t="n">
        <v>1</v>
      </c>
      <c r="J106" s="41" t="n">
        <v>4</v>
      </c>
      <c r="K106" s="42" t="inlineStr">
        <is>
          <t>Flying, Diurnal</t>
        </is>
      </c>
      <c r="L106" s="41" t="n"/>
      <c r="M106" s="41" t="inlineStr">
        <is>
          <t>Bird</t>
        </is>
      </c>
      <c r="N106" s="41" t="inlineStr">
        <is>
          <t>Hummingbird</t>
        </is>
      </c>
      <c r="O106" s="41" t="inlineStr">
        <is>
          <t>Painted cliffs</t>
        </is>
      </c>
      <c r="P106" s="42" t="inlineStr">
        <is>
          <t>Sunfeather Tribes (Hummingbird ally pack)</t>
        </is>
      </c>
      <c r="Q106" s="41" t="inlineStr">
        <is>
          <t>Faction</t>
        </is>
      </c>
    </row>
    <row r="107" ht="15" customHeight="1" s="39">
      <c r="A107" s="41" t="inlineStr">
        <is>
          <t>Faction · Hummingbirds</t>
        </is>
      </c>
      <c r="B107" s="41" t="n"/>
      <c r="C107" s="41" t="inlineStr">
        <is>
          <t>Mosswing</t>
        </is>
      </c>
      <c r="D107" s="41" t="inlineStr">
        <is>
          <t>mosswing-laborer</t>
        </is>
      </c>
      <c r="E107" s="41" t="n"/>
      <c r="F107" s="41" t="inlineStr">
        <is>
          <t>Starter</t>
        </is>
      </c>
      <c r="G107" s="41" t="n">
        <v>0</v>
      </c>
      <c r="H107" s="41" t="n">
        <v>0</v>
      </c>
      <c r="I107" s="41" t="n">
        <v>1</v>
      </c>
      <c r="J107" s="41" t="n">
        <v>5</v>
      </c>
      <c r="K107" s="42" t="inlineStr">
        <is>
          <t>Flying</t>
        </is>
      </c>
      <c r="L107" s="41" t="n"/>
      <c r="M107" s="41" t="inlineStr">
        <is>
          <t>Bird</t>
        </is>
      </c>
      <c r="N107" s="41" t="inlineStr">
        <is>
          <t>Hummingbird</t>
        </is>
      </c>
      <c r="O107" s="41" t="inlineStr">
        <is>
          <t>Painted cliffs</t>
        </is>
      </c>
      <c r="P107" s="42" t="inlineStr">
        <is>
          <t>Sunfeather Tribes (Hummingbird ally pack)</t>
        </is>
      </c>
      <c r="Q107" s="41" t="inlineStr">
        <is>
          <t>Faction</t>
        </is>
      </c>
    </row>
    <row r="108" ht="15" customHeight="1" s="39">
      <c r="A108" s="41" t="inlineStr">
        <is>
          <t>Faction · Hummingbirds</t>
        </is>
      </c>
      <c r="B108" s="41" t="n"/>
      <c r="C108" s="41" t="inlineStr">
        <is>
          <t>Sunthroat Courier</t>
        </is>
      </c>
      <c r="D108" s="41" t="inlineStr">
        <is>
          <t>sunthroat-courier</t>
        </is>
      </c>
      <c r="E108" s="41" t="n"/>
      <c r="F108" s="41" t="inlineStr">
        <is>
          <t>Starter</t>
        </is>
      </c>
      <c r="G108" s="41" t="n">
        <v>0</v>
      </c>
      <c r="H108" s="41" t="n">
        <v>1</v>
      </c>
      <c r="I108" s="41" t="n">
        <v>2</v>
      </c>
      <c r="J108" s="41" t="n">
        <v>5</v>
      </c>
      <c r="K108" s="42" t="inlineStr">
        <is>
          <t>Flying, Diurnal</t>
        </is>
      </c>
      <c r="L108" s="41" t="n"/>
      <c r="M108" s="41" t="inlineStr">
        <is>
          <t>Bird</t>
        </is>
      </c>
      <c r="N108" s="41" t="inlineStr">
        <is>
          <t>Hummingbird</t>
        </is>
      </c>
      <c r="O108" s="41" t="inlineStr">
        <is>
          <t>Painted cliffs</t>
        </is>
      </c>
      <c r="P108" s="42" t="inlineStr">
        <is>
          <t>Sunfeather Tribes (Hummingbird ally pack)</t>
        </is>
      </c>
      <c r="Q108" s="41" t="inlineStr">
        <is>
          <t>Faction</t>
        </is>
      </c>
    </row>
    <row r="109" ht="15" customHeight="1" s="39">
      <c r="A109" s="41" t="inlineStr">
        <is>
          <t>Faction · Hummingbirds</t>
        </is>
      </c>
      <c r="B109" s="41" t="n"/>
      <c r="C109" s="41" t="inlineStr">
        <is>
          <t>Violet Vane Fletcher</t>
        </is>
      </c>
      <c r="D109" s="41" t="inlineStr">
        <is>
          <t>violet-vane-fletcher</t>
        </is>
      </c>
      <c r="E109" s="41" t="n"/>
      <c r="F109" s="41" t="inlineStr">
        <is>
          <t>Starter</t>
        </is>
      </c>
      <c r="G109" s="41" t="n">
        <v>0</v>
      </c>
      <c r="H109" s="41" t="n">
        <v>0</v>
      </c>
      <c r="I109" s="41" t="n">
        <v>2</v>
      </c>
      <c r="J109" s="41" t="n">
        <v>4</v>
      </c>
      <c r="K109" s="42" t="inlineStr">
        <is>
          <t>Flying, Diurnal</t>
        </is>
      </c>
      <c r="L109" s="41" t="n"/>
      <c r="M109" s="41" t="inlineStr">
        <is>
          <t>Bird</t>
        </is>
      </c>
      <c r="N109" s="41" t="inlineStr">
        <is>
          <t>Hummingbird</t>
        </is>
      </c>
      <c r="O109" s="41" t="inlineStr">
        <is>
          <t>Painted cliffs</t>
        </is>
      </c>
      <c r="P109" s="42" t="inlineStr">
        <is>
          <t>Sunfeather Tribes (Hummingbird ally pack)</t>
        </is>
      </c>
      <c r="Q109" s="41" t="inlineStr">
        <is>
          <t>Faction</t>
        </is>
      </c>
    </row>
    <row r="110" ht="15" customHeight="1" s="39">
      <c r="A110" s="41" t="inlineStr">
        <is>
          <t>Faction · Hummingbirds</t>
        </is>
      </c>
      <c r="B110" s="41" t="n"/>
      <c r="C110" s="41" t="inlineStr">
        <is>
          <t>Daily Post</t>
        </is>
      </c>
      <c r="D110" s="41" t="inlineStr">
        <is>
          <t>daily-post</t>
        </is>
      </c>
      <c r="E110" s="41" t="n"/>
      <c r="F110" s="41" t="inlineStr">
        <is>
          <t>Common</t>
        </is>
      </c>
      <c r="G110" s="41" t="n">
        <v>0</v>
      </c>
      <c r="H110" s="41" t="n">
        <v>0</v>
      </c>
      <c r="I110" s="41" t="n">
        <v>1</v>
      </c>
      <c r="J110" s="41" t="n">
        <v>3</v>
      </c>
      <c r="K110" s="42" t="inlineStr">
        <is>
          <t>Flying, Draw 1</t>
        </is>
      </c>
      <c r="L110" s="41" t="n"/>
      <c r="M110" s="41" t="inlineStr">
        <is>
          <t>Bird</t>
        </is>
      </c>
      <c r="N110" s="41" t="inlineStr">
        <is>
          <t>Hummingbird</t>
        </is>
      </c>
      <c r="O110" s="41" t="inlineStr">
        <is>
          <t>Painted cliffs</t>
        </is>
      </c>
      <c r="P110" s="42" t="inlineStr">
        <is>
          <t>Sunfeather Tribes (Hummingbird ally pack)</t>
        </is>
      </c>
      <c r="Q110" s="41" t="inlineStr">
        <is>
          <t>Faction</t>
        </is>
      </c>
    </row>
    <row r="111" ht="15" customHeight="1" s="39">
      <c r="A111" s="41" t="inlineStr">
        <is>
          <t>Faction · Hummingbirds</t>
        </is>
      </c>
      <c r="B111" s="41" t="n"/>
      <c r="C111" s="41" t="inlineStr">
        <is>
          <t>Nectar Sipper</t>
        </is>
      </c>
      <c r="D111" s="41" t="inlineStr">
        <is>
          <t>nectar-sipper</t>
        </is>
      </c>
      <c r="E111" s="41" t="n"/>
      <c r="F111" s="41" t="inlineStr">
        <is>
          <t>Common</t>
        </is>
      </c>
      <c r="G111" s="41" t="n">
        <v>0</v>
      </c>
      <c r="H111" s="41" t="n">
        <v>0</v>
      </c>
      <c r="I111" s="41" t="n">
        <v>1</v>
      </c>
      <c r="J111" s="41" t="n">
        <v>4</v>
      </c>
      <c r="K111" s="42" t="inlineStr">
        <is>
          <t>Flying, Regeneration 1</t>
        </is>
      </c>
      <c r="L111" s="41" t="n"/>
      <c r="M111" s="41" t="inlineStr">
        <is>
          <t>Bird</t>
        </is>
      </c>
      <c r="N111" s="41" t="inlineStr">
        <is>
          <t>Hummingbird</t>
        </is>
      </c>
      <c r="O111" s="41" t="inlineStr">
        <is>
          <t>Painted cliffs</t>
        </is>
      </c>
      <c r="P111" s="42" t="inlineStr">
        <is>
          <t>Sunfeather Tribes (Hummingbird ally pack)</t>
        </is>
      </c>
      <c r="Q111" s="41" t="inlineStr">
        <is>
          <t>Faction</t>
        </is>
      </c>
    </row>
    <row r="112" ht="15" customHeight="1" s="39">
      <c r="A112" s="41" t="inlineStr">
        <is>
          <t>Faction · Hummingbirds</t>
        </is>
      </c>
      <c r="B112" s="41" t="n"/>
      <c r="C112" s="41" t="inlineStr">
        <is>
          <t>Nectar Vintner</t>
        </is>
      </c>
      <c r="D112" s="41" t="inlineStr">
        <is>
          <t>nectar-vintner</t>
        </is>
      </c>
      <c r="E112" s="41" t="n"/>
      <c r="F112" s="41" t="inlineStr">
        <is>
          <t>Common</t>
        </is>
      </c>
      <c r="G112" s="41" t="n">
        <v>0</v>
      </c>
      <c r="H112" s="41" t="n">
        <v>0</v>
      </c>
      <c r="I112" s="41" t="n">
        <v>1</v>
      </c>
      <c r="J112" s="41" t="n">
        <v>3</v>
      </c>
      <c r="K112" s="42" t="inlineStr">
        <is>
          <t>Flying, Bloom 1</t>
        </is>
      </c>
      <c r="L112" s="41" t="n"/>
      <c r="M112" s="41" t="inlineStr">
        <is>
          <t>Bird</t>
        </is>
      </c>
      <c r="N112" s="41" t="inlineStr">
        <is>
          <t>Hummingbird</t>
        </is>
      </c>
      <c r="O112" s="41" t="inlineStr">
        <is>
          <t>Painted cliffs</t>
        </is>
      </c>
      <c r="P112" s="42" t="inlineStr">
        <is>
          <t>Sunfeather Tribes (Hummingbird ally pack)</t>
        </is>
      </c>
      <c r="Q112" s="41" t="inlineStr">
        <is>
          <t>Faction</t>
        </is>
      </c>
    </row>
    <row r="113" ht="15" customHeight="1" s="39">
      <c r="A113" s="41" t="inlineStr">
        <is>
          <t>Faction · Hummingbirds</t>
        </is>
      </c>
      <c r="B113" s="41" t="n"/>
      <c r="C113" s="41" t="inlineStr">
        <is>
          <t>Petal Fletcher</t>
        </is>
      </c>
      <c r="D113" s="41" t="inlineStr">
        <is>
          <t>petal-fletcher</t>
        </is>
      </c>
      <c r="E113" s="41" t="n"/>
      <c r="F113" s="41" t="inlineStr">
        <is>
          <t>Common</t>
        </is>
      </c>
      <c r="G113" s="41" t="n">
        <v>0</v>
      </c>
      <c r="H113" s="41" t="n">
        <v>0</v>
      </c>
      <c r="I113" s="41" t="n">
        <v>1</v>
      </c>
      <c r="J113" s="41" t="n">
        <v>3</v>
      </c>
      <c r="K113" s="42" t="inlineStr">
        <is>
          <t>Flying, Arrow 1</t>
        </is>
      </c>
      <c r="L113" s="41" t="n"/>
      <c r="M113" s="41" t="inlineStr">
        <is>
          <t>Bird</t>
        </is>
      </c>
      <c r="N113" s="41" t="inlineStr">
        <is>
          <t>Hummingbird</t>
        </is>
      </c>
      <c r="O113" s="41" t="inlineStr">
        <is>
          <t>Painted cliffs</t>
        </is>
      </c>
      <c r="P113" s="42" t="inlineStr">
        <is>
          <t>Sunfeather Tribes (Hummingbird ally pack)</t>
        </is>
      </c>
      <c r="Q113" s="41" t="inlineStr">
        <is>
          <t>Faction</t>
        </is>
      </c>
    </row>
    <row r="114" ht="15" customHeight="1" s="39">
      <c r="A114" s="41" t="inlineStr">
        <is>
          <t>Faction · Hummingbirds</t>
        </is>
      </c>
      <c r="B114" s="41" t="n"/>
      <c r="C114" s="41" t="inlineStr">
        <is>
          <t>Sunfeather Scout</t>
        </is>
      </c>
      <c r="D114" s="41" t="inlineStr">
        <is>
          <t>sunfeather-scout</t>
        </is>
      </c>
      <c r="E114" s="41" t="n"/>
      <c r="F114" s="41" t="inlineStr">
        <is>
          <t>Common</t>
        </is>
      </c>
      <c r="G114" s="41" t="n">
        <v>0</v>
      </c>
      <c r="H114" s="41" t="n">
        <v>1</v>
      </c>
      <c r="I114" s="41" t="n">
        <v>2</v>
      </c>
      <c r="J114" s="41" t="n">
        <v>5</v>
      </c>
      <c r="K114" s="42" t="inlineStr">
        <is>
          <t>Flying, Lumber when Ready 1</t>
        </is>
      </c>
      <c r="L114" s="41" t="n"/>
      <c r="M114" s="41" t="inlineStr">
        <is>
          <t>Bird</t>
        </is>
      </c>
      <c r="N114" s="41" t="inlineStr">
        <is>
          <t>Hummingbird</t>
        </is>
      </c>
      <c r="O114" s="41" t="inlineStr">
        <is>
          <t>Painted cliffs</t>
        </is>
      </c>
      <c r="P114" s="42" t="inlineStr">
        <is>
          <t>Sunfeather Tribes (Hummingbird ally pack)</t>
        </is>
      </c>
      <c r="Q114" s="41" t="inlineStr">
        <is>
          <t>Faction</t>
        </is>
      </c>
    </row>
    <row r="115" ht="15" customHeight="1" s="39">
      <c r="A115" s="41" t="inlineStr">
        <is>
          <t>Faction · Hummingbirds</t>
        </is>
      </c>
      <c r="B115" s="41" t="n"/>
      <c r="C115" s="41" t="inlineStr">
        <is>
          <t>Voidfeather Scout</t>
        </is>
      </c>
      <c r="D115" s="41" t="inlineStr">
        <is>
          <t>voidfeather-scout</t>
        </is>
      </c>
      <c r="E115" s="41" t="n"/>
      <c r="F115" s="41" t="inlineStr">
        <is>
          <t>Common</t>
        </is>
      </c>
      <c r="G115" s="41" t="n">
        <v>0</v>
      </c>
      <c r="H115" s="41" t="n">
        <v>1</v>
      </c>
      <c r="I115" s="41" t="n">
        <v>3</v>
      </c>
      <c r="J115" s="41" t="n">
        <v>4</v>
      </c>
      <c r="K115" s="42" t="inlineStr">
        <is>
          <t>Flying</t>
        </is>
      </c>
      <c r="L115" s="41" t="n"/>
      <c r="M115" s="41" t="inlineStr">
        <is>
          <t>Bird</t>
        </is>
      </c>
      <c r="N115" s="41" t="inlineStr">
        <is>
          <t>Hummingbird</t>
        </is>
      </c>
      <c r="O115" s="41" t="inlineStr">
        <is>
          <t>Painted cliffs</t>
        </is>
      </c>
      <c r="P115" s="42" t="inlineStr">
        <is>
          <t>Sunfeather Tribes (Hummingbird ally pack)</t>
        </is>
      </c>
      <c r="Q115" s="41" t="inlineStr">
        <is>
          <t>Faction</t>
        </is>
      </c>
    </row>
    <row r="116" ht="15" customHeight="1" s="39">
      <c r="A116" s="41" t="inlineStr">
        <is>
          <t>Faction · Hummingbirds</t>
        </is>
      </c>
      <c r="B116" s="41" t="n"/>
      <c r="C116" s="41" t="inlineStr">
        <is>
          <t>Dawn Bellringer</t>
        </is>
      </c>
      <c r="D116" s="41" t="inlineStr">
        <is>
          <t>dawn-bellringer</t>
        </is>
      </c>
      <c r="E116" s="41" t="n"/>
      <c r="F116" s="41" t="inlineStr">
        <is>
          <t>Uncommon</t>
        </is>
      </c>
      <c r="G116" s="41" t="n">
        <v>1</v>
      </c>
      <c r="H116" s="41" t="n">
        <v>0</v>
      </c>
      <c r="I116" s="41" t="n">
        <v>2</v>
      </c>
      <c r="J116" s="41" t="n">
        <v>3</v>
      </c>
      <c r="K116" s="42" t="inlineStr">
        <is>
          <t>Flying, Diurnal 1</t>
        </is>
      </c>
      <c r="L116" s="41" t="n"/>
      <c r="M116" s="41" t="inlineStr">
        <is>
          <t>Bird</t>
        </is>
      </c>
      <c r="N116" s="41" t="inlineStr">
        <is>
          <t>Hummingbird</t>
        </is>
      </c>
      <c r="O116" s="41" t="inlineStr">
        <is>
          <t>Painted cliffs</t>
        </is>
      </c>
      <c r="P116" s="42" t="inlineStr">
        <is>
          <t>Sunfeather Tribes (Hummingbird ally pack)</t>
        </is>
      </c>
      <c r="Q116" s="41" t="inlineStr">
        <is>
          <t>Faction</t>
        </is>
      </c>
    </row>
    <row r="117" ht="15" customHeight="1" s="39">
      <c r="A117" s="41" t="inlineStr">
        <is>
          <t>Faction · Hummingbirds</t>
        </is>
      </c>
      <c r="B117" s="41" t="n"/>
      <c r="C117" s="41" t="inlineStr">
        <is>
          <t>Hummingbird Needler</t>
        </is>
      </c>
      <c r="D117" s="41" t="inlineStr">
        <is>
          <t>hummingbird-needler</t>
        </is>
      </c>
      <c r="E117" s="41" t="n"/>
      <c r="F117" s="41" t="inlineStr">
        <is>
          <t>Uncommon</t>
        </is>
      </c>
      <c r="G117" s="41" t="n">
        <v>0</v>
      </c>
      <c r="H117" s="41" t="n">
        <v>0</v>
      </c>
      <c r="I117" s="41" t="n">
        <v>1</v>
      </c>
      <c r="J117" s="41" t="n">
        <v>4</v>
      </c>
      <c r="K117" s="42" t="inlineStr">
        <is>
          <t>Flying, Pierce 1, Bleed 1</t>
        </is>
      </c>
      <c r="L117" s="41" t="n"/>
      <c r="M117" s="41" t="inlineStr">
        <is>
          <t>Bird</t>
        </is>
      </c>
      <c r="N117" s="41" t="inlineStr">
        <is>
          <t>Hummingbird</t>
        </is>
      </c>
      <c r="O117" s="41" t="inlineStr">
        <is>
          <t>Painted cliffs</t>
        </is>
      </c>
      <c r="P117" s="42" t="inlineStr">
        <is>
          <t>Sunfeather Tribes (Hummingbird ally pack)</t>
        </is>
      </c>
      <c r="Q117" s="41" t="inlineStr">
        <is>
          <t>Faction</t>
        </is>
      </c>
    </row>
    <row r="118" ht="15" customHeight="1" s="39">
      <c r="A118" s="41" t="inlineStr">
        <is>
          <t>Faction · Hummingbirds</t>
        </is>
      </c>
      <c r="B118" s="41" t="n"/>
      <c r="C118" s="41" t="inlineStr">
        <is>
          <t>Hush-Wing Spy</t>
        </is>
      </c>
      <c r="D118" s="41" t="inlineStr">
        <is>
          <t>hush-wing-spy</t>
        </is>
      </c>
      <c r="E118" s="41" t="n"/>
      <c r="F118" s="41" t="inlineStr">
        <is>
          <t>Uncommon</t>
        </is>
      </c>
      <c r="G118" s="41" t="n">
        <v>0</v>
      </c>
      <c r="H118" s="41" t="n">
        <v>1</v>
      </c>
      <c r="I118" s="41" t="n">
        <v>4</v>
      </c>
      <c r="J118" s="41" t="n">
        <v>5</v>
      </c>
      <c r="K118" s="42" t="inlineStr">
        <is>
          <t>Flying, Stealth</t>
        </is>
      </c>
      <c r="L118" s="41" t="n"/>
      <c r="M118" s="41" t="inlineStr">
        <is>
          <t>Bird</t>
        </is>
      </c>
      <c r="N118" s="41" t="inlineStr">
        <is>
          <t>Hummingbird</t>
        </is>
      </c>
      <c r="O118" s="41" t="inlineStr">
        <is>
          <t>Painted cliffs</t>
        </is>
      </c>
      <c r="P118" s="42" t="inlineStr">
        <is>
          <t>Sunfeather Tribes (Hummingbird ally pack)</t>
        </is>
      </c>
      <c r="Q118" s="41" t="inlineStr">
        <is>
          <t>Faction</t>
        </is>
      </c>
    </row>
    <row r="119" ht="15" customHeight="1" s="39">
      <c r="A119" s="41" t="inlineStr">
        <is>
          <t>Faction · Hummingbirds</t>
        </is>
      </c>
      <c r="B119" s="41" t="n"/>
      <c r="C119" s="41" t="inlineStr">
        <is>
          <t>Lantern Bearer</t>
        </is>
      </c>
      <c r="D119" s="41" t="inlineStr">
        <is>
          <t>lantern-bearer</t>
        </is>
      </c>
      <c r="E119" s="41" t="n"/>
      <c r="F119" s="41" t="inlineStr">
        <is>
          <t>Uncommon</t>
        </is>
      </c>
      <c r="G119" s="41" t="n">
        <v>0</v>
      </c>
      <c r="H119" s="41" t="n">
        <v>1</v>
      </c>
      <c r="I119" s="41" t="n">
        <v>2</v>
      </c>
      <c r="J119" s="41" t="n">
        <v>6</v>
      </c>
      <c r="K119" s="42" t="inlineStr">
        <is>
          <t>Flying, Lantern</t>
        </is>
      </c>
      <c r="L119" s="41" t="n"/>
      <c r="M119" s="41" t="inlineStr">
        <is>
          <t>Bird</t>
        </is>
      </c>
      <c r="N119" s="41" t="inlineStr">
        <is>
          <t>Hummingbird</t>
        </is>
      </c>
      <c r="O119" s="41" t="inlineStr">
        <is>
          <t>Painted cliffs</t>
        </is>
      </c>
      <c r="P119" s="42" t="inlineStr">
        <is>
          <t>Sunfeather Tribes (Hummingbird ally pack)</t>
        </is>
      </c>
      <c r="Q119" s="41" t="inlineStr">
        <is>
          <t>Faction</t>
        </is>
      </c>
    </row>
    <row r="120" ht="15" customHeight="1" s="39">
      <c r="A120" s="41" t="inlineStr">
        <is>
          <t>Faction · Hummingbirds</t>
        </is>
      </c>
      <c r="B120" s="41" t="n"/>
      <c r="C120" s="41" t="inlineStr">
        <is>
          <t>Ruby-Throat Duelist</t>
        </is>
      </c>
      <c r="D120" s="41" t="inlineStr">
        <is>
          <t>ruby-throat-duelist</t>
        </is>
      </c>
      <c r="E120" s="41" t="n"/>
      <c r="F120" s="41" t="inlineStr">
        <is>
          <t>Rare</t>
        </is>
      </c>
      <c r="G120" s="41" t="n">
        <v>0</v>
      </c>
      <c r="H120" s="41" t="n">
        <v>1</v>
      </c>
      <c r="I120" s="41" t="n">
        <v>3</v>
      </c>
      <c r="J120" s="41" t="n">
        <v>3</v>
      </c>
      <c r="K120" s="42" t="inlineStr">
        <is>
          <t>Flying, Quick, Pierce 1, Evasive</t>
        </is>
      </c>
      <c r="L120" s="41" t="n"/>
      <c r="M120" s="41" t="inlineStr">
        <is>
          <t>Bird</t>
        </is>
      </c>
      <c r="N120" s="41" t="inlineStr">
        <is>
          <t>Hummingbird</t>
        </is>
      </c>
      <c r="O120" s="41" t="inlineStr">
        <is>
          <t>Painted cliffs</t>
        </is>
      </c>
      <c r="P120" s="42" t="inlineStr">
        <is>
          <t>Sunfeather Tribes (Hummingbird ally pack)</t>
        </is>
      </c>
      <c r="Q120" s="41" t="inlineStr">
        <is>
          <t>Faction</t>
        </is>
      </c>
    </row>
    <row r="121" ht="15" customHeight="1" s="39">
      <c r="A121" s="41" t="inlineStr">
        <is>
          <t>Faction · Hummingbirds</t>
        </is>
      </c>
      <c r="B121" s="41" t="n"/>
      <c r="C121" s="41" t="inlineStr">
        <is>
          <t>Sunspire Choirmother</t>
        </is>
      </c>
      <c r="D121" s="41" t="inlineStr">
        <is>
          <t>sunspire-choirmother</t>
        </is>
      </c>
      <c r="E121" s="41" t="n"/>
      <c r="F121" s="41" t="inlineStr">
        <is>
          <t>Epic</t>
        </is>
      </c>
      <c r="G121" s="41" t="n">
        <v>2</v>
      </c>
      <c r="H121" s="41" t="n">
        <v>2</v>
      </c>
      <c r="I121" s="41" t="n">
        <v>5</v>
      </c>
      <c r="J121" s="41" t="n">
        <v>14</v>
      </c>
      <c r="K121" s="42" t="inlineStr">
        <is>
          <t>Flying, Esprit 2</t>
        </is>
      </c>
      <c r="L121" s="41" t="n"/>
      <c r="M121" s="41" t="inlineStr">
        <is>
          <t>Bird</t>
        </is>
      </c>
      <c r="N121" s="41" t="inlineStr">
        <is>
          <t>Hummingbird</t>
        </is>
      </c>
      <c r="O121" s="41" t="inlineStr">
        <is>
          <t>Painted cliffs</t>
        </is>
      </c>
      <c r="P121" s="42" t="inlineStr">
        <is>
          <t>Sunfeather Tribes (Hummingbird ally pack)</t>
        </is>
      </c>
      <c r="Q121" s="41" t="inlineStr">
        <is>
          <t>Faction</t>
        </is>
      </c>
    </row>
    <row r="122" ht="15" customHeight="1" s="39">
      <c r="A122" s="41" t="inlineStr">
        <is>
          <t>Faction · Hummingbirds</t>
        </is>
      </c>
      <c r="B122" s="41" t="n"/>
      <c r="C122" s="41" t="inlineStr">
        <is>
          <t>Sunspire Sky-Sovereign</t>
        </is>
      </c>
      <c r="D122" s="41" t="inlineStr">
        <is>
          <t>sunspire-sky-sovereign</t>
        </is>
      </c>
      <c r="E122" s="41" t="n"/>
      <c r="F122" s="41" t="inlineStr">
        <is>
          <t>Heroic</t>
        </is>
      </c>
      <c r="G122" s="41" t="n">
        <v>3</v>
      </c>
      <c r="H122" s="41" t="n">
        <v>1</v>
      </c>
      <c r="I122" s="41" t="n">
        <v>7</v>
      </c>
      <c r="J122" s="41" t="n">
        <v>18</v>
      </c>
      <c r="K122" s="42" t="inlineStr">
        <is>
          <t>Flying, Swift, Esprit 1</t>
        </is>
      </c>
      <c r="L122" s="41" t="n"/>
      <c r="M122" s="41" t="inlineStr">
        <is>
          <t>Bird</t>
        </is>
      </c>
      <c r="N122" s="41" t="inlineStr">
        <is>
          <t>Hummingbird</t>
        </is>
      </c>
      <c r="O122" s="41" t="inlineStr">
        <is>
          <t>Painted cliffs</t>
        </is>
      </c>
      <c r="P122" s="42" t="inlineStr">
        <is>
          <t>Sunfeather Tribes (Hummingbird ally pack)</t>
        </is>
      </c>
      <c r="Q122" s="41" t="inlineStr">
        <is>
          <t>Faction</t>
        </is>
      </c>
    </row>
    <row r="123" ht="15" customHeight="1" s="39">
      <c r="A123" s="44" t="inlineStr">
        <is>
          <t>Tutorial</t>
        </is>
      </c>
      <c r="B123" s="44" t="inlineStr">
        <is>
          <t>T</t>
        </is>
      </c>
      <c r="C123" s="44" t="inlineStr">
        <is>
          <t>Sunspire Envoy</t>
        </is>
      </c>
      <c r="D123" s="44" t="inlineStr">
        <is>
          <t>sunspire-envoy</t>
        </is>
      </c>
      <c r="E123" s="44" t="n"/>
      <c r="F123" s="44" t="inlineStr">
        <is>
          <t>Rare</t>
        </is>
      </c>
      <c r="G123" s="44" t="n">
        <v>2</v>
      </c>
      <c r="H123" s="44" t="n">
        <v>1</v>
      </c>
      <c r="I123" s="44" t="n">
        <v>6</v>
      </c>
      <c r="J123" s="44" t="n">
        <v>11</v>
      </c>
      <c r="K123" s="45" t="inlineStr">
        <is>
          <t>Esprit 1, Flying</t>
        </is>
      </c>
      <c r="L123" s="44" t="n"/>
      <c r="M123" s="44" t="inlineStr">
        <is>
          <t>Bird</t>
        </is>
      </c>
      <c r="N123" s="44" t="inlineStr">
        <is>
          <t>Hummingbird</t>
        </is>
      </c>
      <c r="O123" s="44" t="inlineStr">
        <is>
          <t>Castle grounds</t>
        </is>
      </c>
      <c r="P123" s="45" t="inlineStr">
        <is>
          <t>Tutorial reward (Hummingbirds)</t>
        </is>
      </c>
      <c r="Q123" s="44" t="inlineStr">
        <is>
          <t>Tutorial</t>
        </is>
      </c>
    </row>
    <row r="124" ht="15" customHeight="1" s="39">
      <c r="A124" s="44" t="inlineStr">
        <is>
          <t>Tutorial</t>
        </is>
      </c>
      <c r="B124" s="44" t="inlineStr">
        <is>
          <t>T</t>
        </is>
      </c>
      <c r="C124" s="44" t="inlineStr">
        <is>
          <t>River Warden</t>
        </is>
      </c>
      <c r="D124" s="44" t="inlineStr">
        <is>
          <t>river-warden</t>
        </is>
      </c>
      <c r="E124" s="44" t="n"/>
      <c r="F124" s="44" t="inlineStr">
        <is>
          <t>Rare</t>
        </is>
      </c>
      <c r="G124" s="44" t="n">
        <v>2</v>
      </c>
      <c r="H124" s="44" t="n">
        <v>1</v>
      </c>
      <c r="I124" s="44" t="n">
        <v>5</v>
      </c>
      <c r="J124" s="44" t="n">
        <v>15</v>
      </c>
      <c r="K124" s="45" t="inlineStr">
        <is>
          <t>—</t>
        </is>
      </c>
      <c r="L124" s="44" t="n"/>
      <c r="M124" s="44" t="inlineStr">
        <is>
          <t>Mustelid (Beast)</t>
        </is>
      </c>
      <c r="N124" s="44" t="inlineStr">
        <is>
          <t>Otter</t>
        </is>
      </c>
      <c r="O124" s="44" t="inlineStr">
        <is>
          <t>Castle grounds</t>
        </is>
      </c>
      <c r="P124" s="45" t="inlineStr">
        <is>
          <t>Tutorial reward (Otters)</t>
        </is>
      </c>
      <c r="Q124" s="44" t="inlineStr">
        <is>
          <t>Tutorial</t>
        </is>
      </c>
    </row>
    <row r="125" ht="23.25" customHeight="1" s="39">
      <c r="A125" s="44" t="inlineStr">
        <is>
          <t>Tutorial</t>
        </is>
      </c>
      <c r="B125" s="44" t="inlineStr">
        <is>
          <t>T</t>
        </is>
      </c>
      <c r="C125" s="44" t="inlineStr">
        <is>
          <t>Straw Training Dummy</t>
        </is>
      </c>
      <c r="D125" s="44" t="inlineStr">
        <is>
          <t>straw-training-dummy</t>
        </is>
      </c>
      <c r="E125" s="44" t="n"/>
      <c r="F125" s="44" t="inlineStr">
        <is>
          <t>Unique</t>
        </is>
      </c>
      <c r="G125" s="44" t="n">
        <v>0</v>
      </c>
      <c r="H125" s="44" t="n">
        <v>0</v>
      </c>
      <c r="I125" s="44" t="n">
        <v>0</v>
      </c>
      <c r="J125" s="44" t="n">
        <v>2</v>
      </c>
      <c r="K125" s="45" t="inlineStr">
        <is>
          <t>—</t>
        </is>
      </c>
      <c r="L125" s="44" t="n"/>
      <c r="M125" s="44" t="inlineStr">
        <is>
          <t>Elemental</t>
        </is>
      </c>
      <c r="N125" s="44" t="inlineStr">
        <is>
          <t>Training dummy</t>
        </is>
      </c>
      <c r="O125" s="44" t="inlineStr">
        <is>
          <t>Castle grounds</t>
        </is>
      </c>
      <c r="P125" s="45" t="inlineStr">
        <is>
          <t>Tutorial target only (a straw dummy, not counted as an Elemental)</t>
        </is>
      </c>
      <c r="Q125" s="44" t="inlineStr">
        <is>
          <t>Tutorial</t>
        </is>
      </c>
    </row>
    <row r="126" ht="15" customHeight="1" s="39">
      <c r="A126" s="41" t="inlineStr">
        <is>
          <t>Map 0</t>
        </is>
      </c>
      <c r="B126" s="41" t="n">
        <v>0</v>
      </c>
      <c r="C126" s="41" t="inlineStr">
        <is>
          <t>Earthworm</t>
        </is>
      </c>
      <c r="D126" s="41" t="inlineStr">
        <is>
          <t>earthworm</t>
        </is>
      </c>
      <c r="E126" s="41" t="n"/>
      <c r="F126" s="41" t="inlineStr">
        <is>
          <t>Starter</t>
        </is>
      </c>
      <c r="G126" s="41" t="n">
        <v>0</v>
      </c>
      <c r="H126" s="41" t="n">
        <v>0</v>
      </c>
      <c r="I126" s="41" t="n">
        <v>1</v>
      </c>
      <c r="J126" s="41" t="n">
        <v>2</v>
      </c>
      <c r="K126" s="42" t="inlineStr">
        <is>
          <t>Regeneration 1</t>
        </is>
      </c>
      <c r="L126" s="46" t="inlineStr">
        <is>
          <t>yes: Regeneration</t>
        </is>
      </c>
      <c r="M126" s="41" t="inlineStr">
        <is>
          <t>Annelid (Crawler)</t>
        </is>
      </c>
      <c r="N126" s="41" t="inlineStr">
        <is>
          <t>Worm &amp; Leech</t>
        </is>
      </c>
      <c r="O126" s="41" t="inlineStr">
        <is>
          <t>Forest edge</t>
        </is>
      </c>
      <c r="P126" s="42" t="inlineStr">
        <is>
          <t>Teaches Regeneration</t>
        </is>
      </c>
      <c r="Q126" s="41" t="inlineStr">
        <is>
          <t>Map unique</t>
        </is>
      </c>
    </row>
    <row r="127" ht="15" customHeight="1" s="39">
      <c r="A127" s="41" t="inlineStr">
        <is>
          <t>Map 0</t>
        </is>
      </c>
      <c r="B127" s="41" t="n">
        <v>0</v>
      </c>
      <c r="C127" s="41" t="inlineStr">
        <is>
          <t>Soldier Ant</t>
        </is>
      </c>
      <c r="D127" s="41" t="inlineStr">
        <is>
          <t>soldier-ant</t>
        </is>
      </c>
      <c r="E127" s="41" t="n"/>
      <c r="F127" s="41" t="inlineStr">
        <is>
          <t>Uncommon</t>
        </is>
      </c>
      <c r="G127" s="41" t="n">
        <v>0</v>
      </c>
      <c r="H127" s="41" t="n">
        <v>1</v>
      </c>
      <c r="I127" s="41" t="n">
        <v>1</v>
      </c>
      <c r="J127" s="41" t="n">
        <v>8</v>
      </c>
      <c r="K127" s="42" t="inlineStr">
        <is>
          <t>Swarm</t>
        </is>
      </c>
      <c r="L127" s="46" t="inlineStr">
        <is>
          <t>yes: Swarm</t>
        </is>
      </c>
      <c r="M127" s="41" t="inlineStr">
        <is>
          <t>Insect (Arthropod)</t>
        </is>
      </c>
      <c r="N127" s="41" t="inlineStr">
        <is>
          <t>Ant &amp; Termite</t>
        </is>
      </c>
      <c r="O127" s="41" t="inlineStr">
        <is>
          <t>Forest edge</t>
        </is>
      </c>
      <c r="P127" s="42" t="inlineStr">
        <is>
          <t>Teaches Swarm</t>
        </is>
      </c>
      <c r="Q127" s="41" t="inlineStr">
        <is>
          <t>Map unique</t>
        </is>
      </c>
    </row>
    <row r="128" ht="15" customHeight="1" s="39">
      <c r="A128" s="41" t="inlineStr">
        <is>
          <t>Map 0</t>
        </is>
      </c>
      <c r="B128" s="41" t="n">
        <v>0</v>
      </c>
      <c r="C128" s="41" t="inlineStr">
        <is>
          <t>Pigeon Peon</t>
        </is>
      </c>
      <c r="D128" s="41" t="inlineStr">
        <is>
          <t>pigeon-peon</t>
        </is>
      </c>
      <c r="E128" s="41" t="n"/>
      <c r="F128" s="41" t="inlineStr">
        <is>
          <t>Common</t>
        </is>
      </c>
      <c r="G128" s="41" t="n">
        <v>0</v>
      </c>
      <c r="H128" s="41" t="n">
        <v>0</v>
      </c>
      <c r="I128" s="41" t="n">
        <v>2</v>
      </c>
      <c r="J128" s="41" t="n">
        <v>3</v>
      </c>
      <c r="K128" s="42" t="inlineStr">
        <is>
          <t>Flying</t>
        </is>
      </c>
      <c r="L128" s="46" t="inlineStr">
        <is>
          <t>yes: Flying</t>
        </is>
      </c>
      <c r="M128" s="41" t="inlineStr">
        <is>
          <t>Bird</t>
        </is>
      </c>
      <c r="N128" s="41" t="inlineStr">
        <is>
          <t>Songbird</t>
        </is>
      </c>
      <c r="O128" s="41" t="inlineStr">
        <is>
          <t>Forest edge</t>
        </is>
      </c>
      <c r="P128" s="42" t="inlineStr">
        <is>
          <t>Teaches Flying</t>
        </is>
      </c>
      <c r="Q128" s="41" t="inlineStr">
        <is>
          <t>Map unique</t>
        </is>
      </c>
    </row>
    <row r="129" ht="15" customHeight="1" s="39">
      <c r="A129" s="41" t="inlineStr">
        <is>
          <t>Map 0</t>
        </is>
      </c>
      <c r="B129" s="41" t="n">
        <v>0</v>
      </c>
      <c r="C129" s="43" t="inlineStr">
        <is>
          <t>Bramble Hoglet</t>
        </is>
      </c>
      <c r="D129" s="43" t="inlineStr">
        <is>
          <t>bramble-hoglet</t>
        </is>
      </c>
      <c r="E129" s="43" t="inlineStr">
        <is>
          <t>yes</t>
        </is>
      </c>
      <c r="F129" s="41" t="inlineStr">
        <is>
          <t>Common</t>
        </is>
      </c>
      <c r="G129" s="41" t="n">
        <v>0</v>
      </c>
      <c r="H129" s="41" t="n">
        <v>0</v>
      </c>
      <c r="I129" s="41" t="n">
        <v>1</v>
      </c>
      <c r="J129" s="41" t="n">
        <v>6</v>
      </c>
      <c r="K129" s="42" t="inlineStr">
        <is>
          <t>Regeneration 1</t>
        </is>
      </c>
      <c r="L129" s="46" t="inlineStr">
        <is>
          <t>yes: Regeneration</t>
        </is>
      </c>
      <c r="M129" s="41" t="inlineStr">
        <is>
          <t>Erinaceid (Beast)</t>
        </is>
      </c>
      <c r="N129" s="41" t="inlineStr">
        <is>
          <t>Hedgehog</t>
        </is>
      </c>
      <c r="O129" s="41" t="inlineStr">
        <is>
          <t>Forest edge</t>
        </is>
      </c>
      <c r="P129" s="42" t="inlineStr">
        <is>
          <t>Teaches Regeneration</t>
        </is>
      </c>
      <c r="Q129" s="41" t="inlineStr">
        <is>
          <t>Map unique</t>
        </is>
      </c>
    </row>
    <row r="130" ht="15" customHeight="1" s="39">
      <c r="A130" s="44" t="inlineStr">
        <is>
          <t>Map 1</t>
        </is>
      </c>
      <c r="B130" s="44" t="n">
        <v>1</v>
      </c>
      <c r="C130" s="44" t="inlineStr">
        <is>
          <t>The Thistle Baron</t>
        </is>
      </c>
      <c r="D130" s="44" t="inlineStr">
        <is>
          <t>thistle-baron</t>
        </is>
      </c>
      <c r="E130" s="44" t="n"/>
      <c r="F130" s="44" t="inlineStr">
        <is>
          <t>Heroic</t>
        </is>
      </c>
      <c r="G130" s="44" t="n">
        <v>2</v>
      </c>
      <c r="H130" s="44" t="n">
        <v>2</v>
      </c>
      <c r="I130" s="44" t="n">
        <v>3</v>
      </c>
      <c r="J130" s="44" t="n">
        <v>18</v>
      </c>
      <c r="K130" s="45" t="inlineStr">
        <is>
          <t>Thorns 2</t>
        </is>
      </c>
      <c r="L130" s="47" t="inlineStr">
        <is>
          <t>yes: Thorns</t>
        </is>
      </c>
      <c r="M130" s="44" t="inlineStr">
        <is>
          <t>Mustelid (Beast)</t>
        </is>
      </c>
      <c r="N130" s="44" t="inlineStr">
        <is>
          <t>Stoat &amp; Weasel</t>
        </is>
      </c>
      <c r="O130" s="44" t="inlineStr">
        <is>
          <t>Hedgerow and meadow</t>
        </is>
      </c>
      <c r="P130" s="45" t="inlineStr">
        <is>
          <t>Boss leader of the map</t>
        </is>
      </c>
      <c r="Q130" s="44" t="inlineStr">
        <is>
          <t>Map unique</t>
        </is>
      </c>
    </row>
    <row r="131" ht="15" customHeight="1" s="39">
      <c r="A131" s="44" t="inlineStr">
        <is>
          <t>Map 1</t>
        </is>
      </c>
      <c r="B131" s="44" t="n">
        <v>1</v>
      </c>
      <c r="C131" s="44" t="inlineStr">
        <is>
          <t>Hedgehog Scout</t>
        </is>
      </c>
      <c r="D131" s="44" t="inlineStr">
        <is>
          <t>hedgehog-scout</t>
        </is>
      </c>
      <c r="E131" s="44" t="n"/>
      <c r="F131" s="44" t="inlineStr">
        <is>
          <t>Common</t>
        </is>
      </c>
      <c r="G131" s="44" t="n">
        <v>0</v>
      </c>
      <c r="H131" s="44" t="n">
        <v>0</v>
      </c>
      <c r="I131" s="44" t="n">
        <v>2</v>
      </c>
      <c r="J131" s="44" t="n">
        <v>4</v>
      </c>
      <c r="K131" s="45" t="inlineStr">
        <is>
          <t>Thorns 1</t>
        </is>
      </c>
      <c r="L131" s="47" t="inlineStr">
        <is>
          <t>yes: Thorns</t>
        </is>
      </c>
      <c r="M131" s="44" t="inlineStr">
        <is>
          <t>Erinaceid (Beast)</t>
        </is>
      </c>
      <c r="N131" s="44" t="inlineStr">
        <is>
          <t>Hedgehog</t>
        </is>
      </c>
      <c r="O131" s="44" t="inlineStr">
        <is>
          <t>Hedgerow and meadow</t>
        </is>
      </c>
      <c r="P131" s="45" t="inlineStr">
        <is>
          <t>Teaches Thorns</t>
        </is>
      </c>
      <c r="Q131" s="44" t="inlineStr">
        <is>
          <t>Map unique</t>
        </is>
      </c>
    </row>
    <row r="132" ht="15" customHeight="1" s="39">
      <c r="A132" s="44" t="inlineStr">
        <is>
          <t>Map 1</t>
        </is>
      </c>
      <c r="B132" s="44" t="n">
        <v>1</v>
      </c>
      <c r="C132" s="44" t="inlineStr">
        <is>
          <t>Lucky Hopper</t>
        </is>
      </c>
      <c r="D132" s="44" t="inlineStr">
        <is>
          <t>lucky-hopper</t>
        </is>
      </c>
      <c r="E132" s="44" t="n"/>
      <c r="F132" s="44" t="inlineStr">
        <is>
          <t>Rare</t>
        </is>
      </c>
      <c r="G132" s="44" t="n">
        <v>1</v>
      </c>
      <c r="H132" s="44" t="n">
        <v>0</v>
      </c>
      <c r="I132" s="44" t="n">
        <v>4</v>
      </c>
      <c r="J132" s="44" t="n">
        <v>11</v>
      </c>
      <c r="K132" s="45" t="inlineStr">
        <is>
          <t>Worthy 1</t>
        </is>
      </c>
      <c r="L132" s="47" t="inlineStr">
        <is>
          <t>yes: Worthy</t>
        </is>
      </c>
      <c r="M132" s="44" t="inlineStr">
        <is>
          <t>Lagomorph (Beast)</t>
        </is>
      </c>
      <c r="N132" s="44" t="inlineStr">
        <is>
          <t>Rabbit &amp; Hare</t>
        </is>
      </c>
      <c r="O132" s="44" t="inlineStr">
        <is>
          <t>Hedgerow and meadow</t>
        </is>
      </c>
      <c r="P132" s="45" t="inlineStr">
        <is>
          <t>Teaches Worthy</t>
        </is>
      </c>
      <c r="Q132" s="44" t="inlineStr">
        <is>
          <t>Map unique</t>
        </is>
      </c>
    </row>
    <row r="133" ht="15" customHeight="1" s="39">
      <c r="A133" s="44" t="inlineStr">
        <is>
          <t>Map 1</t>
        </is>
      </c>
      <c r="B133" s="44" t="n">
        <v>1</v>
      </c>
      <c r="C133" s="43" t="inlineStr">
        <is>
          <t>Clover Butterfly</t>
        </is>
      </c>
      <c r="D133" s="43" t="inlineStr">
        <is>
          <t>clover-butterfly</t>
        </is>
      </c>
      <c r="E133" s="43" t="inlineStr">
        <is>
          <t>yes</t>
        </is>
      </c>
      <c r="F133" s="44" t="inlineStr">
        <is>
          <t>Common</t>
        </is>
      </c>
      <c r="G133" s="44" t="n">
        <v>0</v>
      </c>
      <c r="H133" s="44" t="n">
        <v>0</v>
      </c>
      <c r="I133" s="44" t="n">
        <v>1</v>
      </c>
      <c r="J133" s="44" t="n">
        <v>4</v>
      </c>
      <c r="K133" s="45" t="inlineStr">
        <is>
          <t>Flying, Diurnal</t>
        </is>
      </c>
      <c r="L133" s="47" t="inlineStr">
        <is>
          <t>yes: Diurnal</t>
        </is>
      </c>
      <c r="M133" s="44" t="inlineStr">
        <is>
          <t>Insect (Arthropod)</t>
        </is>
      </c>
      <c r="N133" s="44" t="inlineStr">
        <is>
          <t>Moth &amp; Butterfly</t>
        </is>
      </c>
      <c r="O133" s="44" t="inlineStr">
        <is>
          <t>Hedgerow and meadow</t>
        </is>
      </c>
      <c r="P133" s="45" t="inlineStr">
        <is>
          <t>Teaches Diurnal</t>
        </is>
      </c>
      <c r="Q133" s="44" t="inlineStr">
        <is>
          <t>Map unique</t>
        </is>
      </c>
    </row>
    <row r="134" ht="15" customHeight="1" s="39">
      <c r="A134" s="41" t="inlineStr">
        <is>
          <t>Map 2</t>
        </is>
      </c>
      <c r="B134" s="41" t="n">
        <v>2</v>
      </c>
      <c r="C134" s="41" t="inlineStr">
        <is>
          <t>The Old Shell</t>
        </is>
      </c>
      <c r="D134" s="41" t="inlineStr">
        <is>
          <t>old-shell</t>
        </is>
      </c>
      <c r="E134" s="41" t="n"/>
      <c r="F134" s="41" t="inlineStr">
        <is>
          <t>Heroic</t>
        </is>
      </c>
      <c r="G134" s="41" t="n">
        <v>2</v>
      </c>
      <c r="H134" s="41" t="n">
        <v>3</v>
      </c>
      <c r="I134" s="41" t="n">
        <v>2</v>
      </c>
      <c r="J134" s="41" t="n">
        <v>30</v>
      </c>
      <c r="K134" s="42" t="inlineStr">
        <is>
          <t>Armor 3, Tide</t>
        </is>
      </c>
      <c r="L134" s="46" t="inlineStr">
        <is>
          <t>yes: Armor, Tide</t>
        </is>
      </c>
      <c r="M134" s="41" t="inlineStr">
        <is>
          <t>Reptile (Scaled)</t>
        </is>
      </c>
      <c r="N134" s="41" t="inlineStr">
        <is>
          <t>Turtle</t>
        </is>
      </c>
      <c r="O134" s="41" t="inlineStr">
        <is>
          <t>Beach and pond</t>
        </is>
      </c>
      <c r="P134" s="42" t="inlineStr">
        <is>
          <t>Boss leader of the map</t>
        </is>
      </c>
      <c r="Q134" s="41" t="inlineStr">
        <is>
          <t>Map unique</t>
        </is>
      </c>
    </row>
    <row r="135" ht="15" customHeight="1" s="39">
      <c r="A135" s="41" t="inlineStr">
        <is>
          <t>Map 2</t>
        </is>
      </c>
      <c r="B135" s="41" t="n">
        <v>2</v>
      </c>
      <c r="C135" s="41" t="inlineStr">
        <is>
          <t>Tide Pool Crab</t>
        </is>
      </c>
      <c r="D135" s="41" t="inlineStr">
        <is>
          <t>tide-pool-crab</t>
        </is>
      </c>
      <c r="E135" s="41" t="n"/>
      <c r="F135" s="41" t="inlineStr">
        <is>
          <t>Common</t>
        </is>
      </c>
      <c r="G135" s="41" t="n">
        <v>0</v>
      </c>
      <c r="H135" s="41" t="n">
        <v>0</v>
      </c>
      <c r="I135" s="41" t="n">
        <v>1</v>
      </c>
      <c r="J135" s="41" t="n">
        <v>5</v>
      </c>
      <c r="K135" s="42" t="inlineStr">
        <is>
          <t>Armor 1, Tide, Molting 4</t>
        </is>
      </c>
      <c r="L135" s="46" t="inlineStr">
        <is>
          <t>yes: Armor, Tide, Molting</t>
        </is>
      </c>
      <c r="M135" s="41" t="inlineStr">
        <is>
          <t>Crustacean (Arthropod)</t>
        </is>
      </c>
      <c r="N135" s="41" t="inlineStr">
        <is>
          <t>Crab &amp; Shrimp</t>
        </is>
      </c>
      <c r="O135" s="41" t="inlineStr">
        <is>
          <t>Beach and pond</t>
        </is>
      </c>
      <c r="P135" s="42" t="inlineStr">
        <is>
          <t>Teaches Armor, Tide, Molting</t>
        </is>
      </c>
      <c r="Q135" s="41" t="inlineStr">
        <is>
          <t>Map unique</t>
        </is>
      </c>
    </row>
    <row r="136" ht="15" customHeight="1" s="39">
      <c r="A136" s="41" t="inlineStr">
        <is>
          <t>Map 2</t>
        </is>
      </c>
      <c r="B136" s="41" t="n">
        <v>2</v>
      </c>
      <c r="C136" s="41" t="inlineStr">
        <is>
          <t>Snapper Hatchling</t>
        </is>
      </c>
      <c r="D136" s="41" t="inlineStr">
        <is>
          <t>snapper-hatchling</t>
        </is>
      </c>
      <c r="E136" s="41" t="n"/>
      <c r="F136" s="41" t="inlineStr">
        <is>
          <t>Common</t>
        </is>
      </c>
      <c r="G136" s="41" t="n">
        <v>0</v>
      </c>
      <c r="H136" s="41" t="n">
        <v>0</v>
      </c>
      <c r="I136" s="41" t="n">
        <v>1</v>
      </c>
      <c r="J136" s="41" t="n">
        <v>12</v>
      </c>
      <c r="K136" s="42" t="inlineStr">
        <is>
          <t>Swimmer</t>
        </is>
      </c>
      <c r="L136" s="41" t="n"/>
      <c r="M136" s="41" t="inlineStr">
        <is>
          <t>Reptile (Scaled)</t>
        </is>
      </c>
      <c r="N136" s="41" t="inlineStr">
        <is>
          <t>Turtle</t>
        </is>
      </c>
      <c r="O136" s="41" t="inlineStr">
        <is>
          <t>Beach and pond</t>
        </is>
      </c>
      <c r="P136" s="42" t="inlineStr">
        <is>
          <t>Fits the map: beach and pond</t>
        </is>
      </c>
      <c r="Q136" s="41" t="inlineStr">
        <is>
          <t>Map unique</t>
        </is>
      </c>
    </row>
    <row r="137" ht="15" customHeight="1" s="39">
      <c r="A137" s="41" t="inlineStr">
        <is>
          <t>Map 2</t>
        </is>
      </c>
      <c r="B137" s="41" t="n">
        <v>2</v>
      </c>
      <c r="C137" s="41" t="inlineStr">
        <is>
          <t>Pond Paddler</t>
        </is>
      </c>
      <c r="D137" s="41" t="inlineStr">
        <is>
          <t>pond-paddler</t>
        </is>
      </c>
      <c r="E137" s="41" t="n"/>
      <c r="F137" s="41" t="inlineStr">
        <is>
          <t>Rare</t>
        </is>
      </c>
      <c r="G137" s="41" t="n">
        <v>0</v>
      </c>
      <c r="H137" s="41" t="n">
        <v>0</v>
      </c>
      <c r="I137" s="41" t="n">
        <v>2</v>
      </c>
      <c r="J137" s="41" t="n">
        <v>4</v>
      </c>
      <c r="K137" s="42" t="inlineStr">
        <is>
          <t>Flying</t>
        </is>
      </c>
      <c r="L137" s="41" t="n"/>
      <c r="M137" s="41" t="inlineStr">
        <is>
          <t>Bird</t>
        </is>
      </c>
      <c r="N137" s="41" t="inlineStr">
        <is>
          <t>Duck &amp; Goose</t>
        </is>
      </c>
      <c r="O137" s="41" t="inlineStr">
        <is>
          <t>Beach and pond</t>
        </is>
      </c>
      <c r="P137" s="42" t="inlineStr">
        <is>
          <t>Fits the map: beach and pond</t>
        </is>
      </c>
      <c r="Q137" s="41" t="inlineStr">
        <is>
          <t>Map unique</t>
        </is>
      </c>
    </row>
    <row r="138" ht="15" customHeight="1" s="39">
      <c r="A138" s="44" t="inlineStr">
        <is>
          <t>Map 3</t>
        </is>
      </c>
      <c r="B138" s="44" t="n">
        <v>3</v>
      </c>
      <c r="C138" s="43" t="inlineStr">
        <is>
          <t>The Gannet Queen</t>
        </is>
      </c>
      <c r="D138" s="43" t="inlineStr">
        <is>
          <t>the-gannet-queen</t>
        </is>
      </c>
      <c r="E138" s="43" t="inlineStr">
        <is>
          <t>yes</t>
        </is>
      </c>
      <c r="F138" s="44" t="inlineStr">
        <is>
          <t>Heroic</t>
        </is>
      </c>
      <c r="G138" s="44" t="n">
        <v>2</v>
      </c>
      <c r="H138" s="44" t="n">
        <v>2</v>
      </c>
      <c r="I138" s="44" t="n">
        <v>4</v>
      </c>
      <c r="J138" s="44" t="n">
        <v>14</v>
      </c>
      <c r="K138" s="45" t="inlineStr">
        <is>
          <t>Flying, Pounce 2</t>
        </is>
      </c>
      <c r="L138" s="47" t="inlineStr">
        <is>
          <t>yes: Pounce</t>
        </is>
      </c>
      <c r="M138" s="44" t="inlineStr">
        <is>
          <t>Bird</t>
        </is>
      </c>
      <c r="N138" s="44" t="inlineStr">
        <is>
          <t>Waterbird</t>
        </is>
      </c>
      <c r="O138" s="44" t="inlineStr">
        <is>
          <t>Sea cliffs</t>
        </is>
      </c>
      <c r="P138" s="45" t="inlineStr">
        <is>
          <t>Boss leader of the map</t>
        </is>
      </c>
      <c r="Q138" s="44" t="inlineStr">
        <is>
          <t>Map unique</t>
        </is>
      </c>
    </row>
    <row r="139" ht="15" customHeight="1" s="39">
      <c r="A139" s="44" t="inlineStr">
        <is>
          <t>Map 3</t>
        </is>
      </c>
      <c r="B139" s="44" t="n">
        <v>3</v>
      </c>
      <c r="C139" s="44" t="inlineStr">
        <is>
          <t>Hawk Arrowkeeper</t>
        </is>
      </c>
      <c r="D139" s="44" t="inlineStr">
        <is>
          <t>hawk-arrowkeeper</t>
        </is>
      </c>
      <c r="E139" s="44" t="n"/>
      <c r="F139" s="44" t="inlineStr">
        <is>
          <t>Common</t>
        </is>
      </c>
      <c r="G139" s="44" t="n">
        <v>1</v>
      </c>
      <c r="H139" s="44" t="n">
        <v>1</v>
      </c>
      <c r="I139" s="44" t="n">
        <v>1</v>
      </c>
      <c r="J139" s="44" t="n">
        <v>8</v>
      </c>
      <c r="K139" s="45" t="inlineStr">
        <is>
          <t>Flying, Diurnal, Pounce 2</t>
        </is>
      </c>
      <c r="L139" s="47" t="inlineStr">
        <is>
          <t>yes: Pounce</t>
        </is>
      </c>
      <c r="M139" s="44" t="inlineStr">
        <is>
          <t>Bird</t>
        </is>
      </c>
      <c r="N139" s="44" t="inlineStr">
        <is>
          <t>Eagle &amp; Hawk</t>
        </is>
      </c>
      <c r="O139" s="44" t="inlineStr">
        <is>
          <t>Sea cliffs</t>
        </is>
      </c>
      <c r="P139" s="45" t="inlineStr">
        <is>
          <t>Teaches Pounce</t>
        </is>
      </c>
      <c r="Q139" s="44" t="inlineStr">
        <is>
          <t>Map unique</t>
        </is>
      </c>
    </row>
    <row r="140" ht="15" customHeight="1" s="39">
      <c r="A140" s="44" t="inlineStr">
        <is>
          <t>Map 3</t>
        </is>
      </c>
      <c r="B140" s="44" t="n">
        <v>3</v>
      </c>
      <c r="C140" s="44" t="inlineStr">
        <is>
          <t>Eagle Sharpshooter</t>
        </is>
      </c>
      <c r="D140" s="44" t="inlineStr">
        <is>
          <t>eagle-sharpshooter</t>
        </is>
      </c>
      <c r="E140" s="44" t="n"/>
      <c r="F140" s="44" t="inlineStr">
        <is>
          <t>Common</t>
        </is>
      </c>
      <c r="G140" s="44" t="n">
        <v>2</v>
      </c>
      <c r="H140" s="44" t="n">
        <v>1</v>
      </c>
      <c r="I140" s="44" t="n">
        <v>3</v>
      </c>
      <c r="J140" s="44" t="n">
        <v>14</v>
      </c>
      <c r="K140" s="45" t="inlineStr">
        <is>
          <t>Flying, Diurnal, Arrow 2</t>
        </is>
      </c>
      <c r="L140" s="47" t="inlineStr">
        <is>
          <t>yes: Arrow</t>
        </is>
      </c>
      <c r="M140" s="44" t="inlineStr">
        <is>
          <t>Bird</t>
        </is>
      </c>
      <c r="N140" s="44" t="inlineStr">
        <is>
          <t>Eagle &amp; Hawk</t>
        </is>
      </c>
      <c r="O140" s="44" t="inlineStr">
        <is>
          <t>Sea cliffs</t>
        </is>
      </c>
      <c r="P140" s="45" t="inlineStr">
        <is>
          <t>Teaches Arrow</t>
        </is>
      </c>
      <c r="Q140" s="44" t="inlineStr">
        <is>
          <t>Map unique</t>
        </is>
      </c>
    </row>
    <row r="141" ht="15" customHeight="1" s="39">
      <c r="A141" s="44" t="inlineStr">
        <is>
          <t>Map 3</t>
        </is>
      </c>
      <c r="B141" s="44" t="n">
        <v>3</v>
      </c>
      <c r="C141" s="44" t="inlineStr">
        <is>
          <t>Mountain Goat Climber</t>
        </is>
      </c>
      <c r="D141" s="44" t="inlineStr">
        <is>
          <t>mountain-goat-climber</t>
        </is>
      </c>
      <c r="E141" s="44" t="n"/>
      <c r="F141" s="44" t="inlineStr">
        <is>
          <t>Rare</t>
        </is>
      </c>
      <c r="G141" s="44" t="n">
        <v>0</v>
      </c>
      <c r="H141" s="44" t="n">
        <v>0</v>
      </c>
      <c r="I141" s="44" t="n">
        <v>1</v>
      </c>
      <c r="J141" s="44" t="n">
        <v>7</v>
      </c>
      <c r="K141" s="45" t="inlineStr">
        <is>
          <t>Evasive</t>
        </is>
      </c>
      <c r="L141" s="47" t="inlineStr">
        <is>
          <t>yes: Evasive</t>
        </is>
      </c>
      <c r="M141" s="44" t="inlineStr">
        <is>
          <t>Bovine (Beast)</t>
        </is>
      </c>
      <c r="N141" s="44" t="inlineStr">
        <is>
          <t>Goat &amp; Ox</t>
        </is>
      </c>
      <c r="O141" s="44" t="inlineStr">
        <is>
          <t>Sea cliffs</t>
        </is>
      </c>
      <c r="P141" s="45" t="inlineStr">
        <is>
          <t>Teaches Evasive</t>
        </is>
      </c>
      <c r="Q141" s="44" t="inlineStr">
        <is>
          <t>Map unique</t>
        </is>
      </c>
    </row>
    <row r="142" ht="15" customHeight="1" s="39">
      <c r="A142" s="41" t="inlineStr">
        <is>
          <t>Map 4</t>
        </is>
      </c>
      <c r="B142" s="41" t="n">
        <v>4</v>
      </c>
      <c r="C142" s="41" t="inlineStr">
        <is>
          <t>The Drowned Matriarch</t>
        </is>
      </c>
      <c r="D142" s="41" t="inlineStr">
        <is>
          <t>drowned-matriarch</t>
        </is>
      </c>
      <c r="E142" s="41" t="n"/>
      <c r="F142" s="41" t="inlineStr">
        <is>
          <t>Heroic</t>
        </is>
      </c>
      <c r="G142" s="41" t="n">
        <v>3</v>
      </c>
      <c r="H142" s="41" t="n">
        <v>2</v>
      </c>
      <c r="I142" s="41" t="n">
        <v>4</v>
      </c>
      <c r="J142" s="41" t="n">
        <v>20</v>
      </c>
      <c r="K142" s="42" t="inlineStr">
        <is>
          <t>Tide, Fork</t>
        </is>
      </c>
      <c r="L142" s="46" t="inlineStr">
        <is>
          <t>yes: Fork</t>
        </is>
      </c>
      <c r="M142" s="41" t="inlineStr">
        <is>
          <t>Mollusc (Aquatic)</t>
        </is>
      </c>
      <c r="N142" s="41" t="inlineStr">
        <is>
          <t>Octopus &amp; Squid</t>
        </is>
      </c>
      <c r="O142" s="41" t="inlineStr">
        <is>
          <t>Ocean (flooded lowland)</t>
        </is>
      </c>
      <c r="P142" s="42" t="inlineStr">
        <is>
          <t>Boss leader of the map</t>
        </is>
      </c>
      <c r="Q142" s="41" t="inlineStr">
        <is>
          <t>Map unique</t>
        </is>
      </c>
    </row>
    <row r="143" ht="15" customHeight="1" s="39">
      <c r="A143" s="41" t="inlineStr">
        <is>
          <t>Map 4</t>
        </is>
      </c>
      <c r="B143" s="41" t="n">
        <v>4</v>
      </c>
      <c r="C143" s="41" t="inlineStr">
        <is>
          <t>Moray Ambusher</t>
        </is>
      </c>
      <c r="D143" s="41" t="inlineStr">
        <is>
          <t>moray-ambusher</t>
        </is>
      </c>
      <c r="E143" s="41" t="n"/>
      <c r="F143" s="41" t="inlineStr">
        <is>
          <t>Common</t>
        </is>
      </c>
      <c r="G143" s="41" t="n">
        <v>1</v>
      </c>
      <c r="H143" s="41" t="n">
        <v>2</v>
      </c>
      <c r="I143" s="41" t="n">
        <v>6</v>
      </c>
      <c r="J143" s="41" t="n">
        <v>12</v>
      </c>
      <c r="K143" s="42" t="inlineStr">
        <is>
          <t>Stealth, Tide</t>
        </is>
      </c>
      <c r="L143" s="46" t="inlineStr">
        <is>
          <t>yes: Stealth</t>
        </is>
      </c>
      <c r="M143" s="41" t="inlineStr">
        <is>
          <t>Cnidarian (Aquatic)</t>
        </is>
      </c>
      <c r="N143" s="41" t="inlineStr">
        <is>
          <t>Eel</t>
        </is>
      </c>
      <c r="O143" s="41" t="inlineStr">
        <is>
          <t>Ocean (flooded lowland)</t>
        </is>
      </c>
      <c r="P143" s="42" t="inlineStr">
        <is>
          <t>Teaches Stealth</t>
        </is>
      </c>
      <c r="Q143" s="41" t="inlineStr">
        <is>
          <t>Map unique</t>
        </is>
      </c>
    </row>
    <row r="144" ht="15" customHeight="1" s="39">
      <c r="A144" s="41" t="inlineStr">
        <is>
          <t>Map 4</t>
        </is>
      </c>
      <c r="B144" s="41" t="n">
        <v>4</v>
      </c>
      <c r="C144" s="41" t="inlineStr">
        <is>
          <t>Dolphin Knight</t>
        </is>
      </c>
      <c r="D144" s="41" t="inlineStr">
        <is>
          <t>dolphin-knight</t>
        </is>
      </c>
      <c r="E144" s="41" t="n"/>
      <c r="F144" s="41" t="inlineStr">
        <is>
          <t>Rare</t>
        </is>
      </c>
      <c r="G144" s="41" t="n">
        <v>0</v>
      </c>
      <c r="H144" s="41" t="n">
        <v>1</v>
      </c>
      <c r="I144" s="41" t="n">
        <v>3</v>
      </c>
      <c r="J144" s="41" t="n">
        <v>3</v>
      </c>
      <c r="K144" s="42" t="inlineStr">
        <is>
          <t>Tide, Wash, Swimmer</t>
        </is>
      </c>
      <c r="L144" s="46" t="inlineStr">
        <is>
          <t>yes: Wash</t>
        </is>
      </c>
      <c r="M144" s="41" t="inlineStr">
        <is>
          <t>Cetacean (Beast)</t>
        </is>
      </c>
      <c r="N144" s="41" t="inlineStr">
        <is>
          <t>Whale &amp; Seal</t>
        </is>
      </c>
      <c r="O144" s="41" t="inlineStr">
        <is>
          <t>Ocean (flooded lowland)</t>
        </is>
      </c>
      <c r="P144" s="42" t="inlineStr">
        <is>
          <t>Teaches Wash</t>
        </is>
      </c>
      <c r="Q144" s="41" t="inlineStr">
        <is>
          <t>Map unique</t>
        </is>
      </c>
    </row>
    <row r="145" ht="15" customHeight="1" s="39">
      <c r="A145" s="41" t="inlineStr">
        <is>
          <t>Map 4</t>
        </is>
      </c>
      <c r="B145" s="41" t="n">
        <v>4</v>
      </c>
      <c r="C145" s="41" t="inlineStr">
        <is>
          <t>Cuttlefish Illusionist</t>
        </is>
      </c>
      <c r="D145" s="41" t="inlineStr">
        <is>
          <t>cuttlefish-illusionist</t>
        </is>
      </c>
      <c r="E145" s="41" t="n"/>
      <c r="F145" s="41" t="inlineStr">
        <is>
          <t>Common</t>
        </is>
      </c>
      <c r="G145" s="41" t="n">
        <v>1</v>
      </c>
      <c r="H145" s="41" t="n">
        <v>1</v>
      </c>
      <c r="I145" s="41" t="n">
        <v>2</v>
      </c>
      <c r="J145" s="41" t="n">
        <v>8</v>
      </c>
      <c r="K145" s="42" t="inlineStr">
        <is>
          <t>Evasive, Tide</t>
        </is>
      </c>
      <c r="L145" s="41" t="n"/>
      <c r="M145" s="41" t="inlineStr">
        <is>
          <t>Mollusc (Aquatic)</t>
        </is>
      </c>
      <c r="N145" s="41" t="inlineStr">
        <is>
          <t>Octopus &amp; Squid</t>
        </is>
      </c>
      <c r="O145" s="41" t="inlineStr">
        <is>
          <t>Ocean (flooded lowland)</t>
        </is>
      </c>
      <c r="P145" s="42" t="inlineStr">
        <is>
          <t>Fits the map: ocean (flooded lowland)</t>
        </is>
      </c>
      <c r="Q145" s="41" t="inlineStr">
        <is>
          <t>Map unique</t>
        </is>
      </c>
    </row>
    <row r="146" ht="15" customHeight="1" s="39">
      <c r="A146" s="44" t="inlineStr">
        <is>
          <t>Map 5</t>
        </is>
      </c>
      <c r="B146" s="44" t="n">
        <v>5</v>
      </c>
      <c r="C146" s="43" t="inlineStr">
        <is>
          <t>Old Snapjaw</t>
        </is>
      </c>
      <c r="D146" s="43" t="inlineStr">
        <is>
          <t>old-snapjaw</t>
        </is>
      </c>
      <c r="E146" s="43" t="inlineStr">
        <is>
          <t>yes</t>
        </is>
      </c>
      <c r="F146" s="44" t="inlineStr">
        <is>
          <t>Heroic</t>
        </is>
      </c>
      <c r="G146" s="44" t="n">
        <v>2</v>
      </c>
      <c r="H146" s="44" t="n">
        <v>3</v>
      </c>
      <c r="I146" s="44" t="n">
        <v>5</v>
      </c>
      <c r="J146" s="44" t="n">
        <v>24</v>
      </c>
      <c r="K146" s="45" t="inlineStr">
        <is>
          <t>Bleed 1, Armor 1</t>
        </is>
      </c>
      <c r="L146" s="47" t="inlineStr">
        <is>
          <t>yes: Bleed</t>
        </is>
      </c>
      <c r="M146" s="44" t="inlineStr">
        <is>
          <t>Reptile (Scaled)</t>
        </is>
      </c>
      <c r="N146" s="44" t="inlineStr">
        <is>
          <t>Crocodile</t>
        </is>
      </c>
      <c r="O146" s="44" t="inlineStr">
        <is>
          <t>Swamp</t>
        </is>
      </c>
      <c r="P146" s="45" t="inlineStr">
        <is>
          <t>Boss leader of the map</t>
        </is>
      </c>
      <c r="Q146" s="44" t="inlineStr">
        <is>
          <t>Map unique</t>
        </is>
      </c>
    </row>
    <row r="147" ht="15" customHeight="1" s="39">
      <c r="A147" s="44" t="inlineStr">
        <is>
          <t>Map 5</t>
        </is>
      </c>
      <c r="B147" s="44" t="n">
        <v>5</v>
      </c>
      <c r="C147" s="44" t="inlineStr">
        <is>
          <t>Bog Leech</t>
        </is>
      </c>
      <c r="D147" s="44" t="inlineStr">
        <is>
          <t>bog-leech</t>
        </is>
      </c>
      <c r="E147" s="44" t="n"/>
      <c r="F147" s="44" t="inlineStr">
        <is>
          <t>Rare</t>
        </is>
      </c>
      <c r="G147" s="44" t="n">
        <v>0</v>
      </c>
      <c r="H147" s="44" t="n">
        <v>0</v>
      </c>
      <c r="I147" s="44" t="n">
        <v>2</v>
      </c>
      <c r="J147" s="44" t="n">
        <v>5</v>
      </c>
      <c r="K147" s="45" t="inlineStr">
        <is>
          <t>Bleed 1</t>
        </is>
      </c>
      <c r="L147" s="47" t="inlineStr">
        <is>
          <t>yes: Bleed</t>
        </is>
      </c>
      <c r="M147" s="44" t="inlineStr">
        <is>
          <t>Annelid (Crawler)</t>
        </is>
      </c>
      <c r="N147" s="44" t="inlineStr">
        <is>
          <t>Worm &amp; Leech</t>
        </is>
      </c>
      <c r="O147" s="44" t="inlineStr">
        <is>
          <t>Swamp</t>
        </is>
      </c>
      <c r="P147" s="45" t="inlineStr">
        <is>
          <t>Teaches Bleed</t>
        </is>
      </c>
      <c r="Q147" s="44" t="inlineStr">
        <is>
          <t>Map unique</t>
        </is>
      </c>
    </row>
    <row r="148" ht="15" customHeight="1" s="39">
      <c r="A148" s="44" t="inlineStr">
        <is>
          <t>Map 5</t>
        </is>
      </c>
      <c r="B148" s="44" t="n">
        <v>5</v>
      </c>
      <c r="C148" s="44" t="inlineStr">
        <is>
          <t>Rootworm Colony</t>
        </is>
      </c>
      <c r="D148" s="44" t="inlineStr">
        <is>
          <t>rootworm-colony</t>
        </is>
      </c>
      <c r="E148" s="44" t="n"/>
      <c r="F148" s="44" t="inlineStr">
        <is>
          <t>Common</t>
        </is>
      </c>
      <c r="G148" s="44" t="n">
        <v>1</v>
      </c>
      <c r="H148" s="44" t="n">
        <v>1</v>
      </c>
      <c r="I148" s="44" t="n">
        <v>2</v>
      </c>
      <c r="J148" s="44" t="n">
        <v>14</v>
      </c>
      <c r="K148" s="45" t="inlineStr">
        <is>
          <t>Poison 2</t>
        </is>
      </c>
      <c r="L148" s="47" t="inlineStr">
        <is>
          <t>yes: Poison</t>
        </is>
      </c>
      <c r="M148" s="44" t="inlineStr">
        <is>
          <t>Annelid (Crawler)</t>
        </is>
      </c>
      <c r="N148" s="44" t="inlineStr">
        <is>
          <t>Worm &amp; Leech</t>
        </is>
      </c>
      <c r="O148" s="44" t="inlineStr">
        <is>
          <t>Swamp</t>
        </is>
      </c>
      <c r="P148" s="45" t="inlineStr">
        <is>
          <t>Teaches Poison</t>
        </is>
      </c>
      <c r="Q148" s="44" t="inlineStr">
        <is>
          <t>Map unique</t>
        </is>
      </c>
    </row>
    <row r="149" ht="15" customHeight="1" s="39">
      <c r="A149" s="44" t="inlineStr">
        <is>
          <t>Map 5</t>
        </is>
      </c>
      <c r="B149" s="44" t="n">
        <v>5</v>
      </c>
      <c r="C149" s="44" t="inlineStr">
        <is>
          <t>Marsh Gas Toad</t>
        </is>
      </c>
      <c r="D149" s="44" t="inlineStr">
        <is>
          <t>marsh-gas-toad</t>
        </is>
      </c>
      <c r="E149" s="44" t="n"/>
      <c r="F149" s="44" t="inlineStr">
        <is>
          <t>Common</t>
        </is>
      </c>
      <c r="G149" s="44" t="n">
        <v>1</v>
      </c>
      <c r="H149" s="44" t="n">
        <v>1</v>
      </c>
      <c r="I149" s="44" t="n">
        <v>0</v>
      </c>
      <c r="J149" s="44" t="n">
        <v>10</v>
      </c>
      <c r="K149" s="45" t="inlineStr">
        <is>
          <t>Explode 6</t>
        </is>
      </c>
      <c r="L149" s="47" t="inlineStr">
        <is>
          <t>yes: Explode</t>
        </is>
      </c>
      <c r="M149" s="44" t="inlineStr">
        <is>
          <t>Amphibian (Scaled)</t>
        </is>
      </c>
      <c r="N149" s="44" t="inlineStr">
        <is>
          <t>Frog &amp; Toad</t>
        </is>
      </c>
      <c r="O149" s="44" t="inlineStr">
        <is>
          <t>Swamp</t>
        </is>
      </c>
      <c r="P149" s="45" t="inlineStr">
        <is>
          <t>Teaches Explode</t>
        </is>
      </c>
      <c r="Q149" s="44" t="inlineStr">
        <is>
          <t>Map unique</t>
        </is>
      </c>
    </row>
    <row r="150" ht="15" customHeight="1" s="39">
      <c r="A150" s="41" t="inlineStr">
        <is>
          <t>Map 6</t>
        </is>
      </c>
      <c r="B150" s="41" t="n">
        <v>6</v>
      </c>
      <c r="C150" s="41" t="inlineStr">
        <is>
          <t>The Heron Hag</t>
        </is>
      </c>
      <c r="D150" s="41" t="inlineStr">
        <is>
          <t>heron-hag</t>
        </is>
      </c>
      <c r="E150" s="41" t="n"/>
      <c r="F150" s="41" t="inlineStr">
        <is>
          <t>Heroic</t>
        </is>
      </c>
      <c r="G150" s="41" t="n">
        <v>2</v>
      </c>
      <c r="H150" s="41" t="n">
        <v>2</v>
      </c>
      <c r="I150" s="41" t="n">
        <v>3</v>
      </c>
      <c r="J150" s="41" t="n">
        <v>14</v>
      </c>
      <c r="K150" s="42" t="inlineStr">
        <is>
          <t>Flying, Poison 2</t>
        </is>
      </c>
      <c r="L150" s="41" t="n"/>
      <c r="M150" s="41" t="inlineStr">
        <is>
          <t>Bird</t>
        </is>
      </c>
      <c r="N150" s="41" t="inlineStr">
        <is>
          <t>Waterbird</t>
        </is>
      </c>
      <c r="O150" s="41" t="inlineStr">
        <is>
          <t>Swamp (the black mire)</t>
        </is>
      </c>
      <c r="P150" s="42" t="inlineStr">
        <is>
          <t>Boss leader of the map</t>
        </is>
      </c>
      <c r="Q150" s="41" t="inlineStr">
        <is>
          <t>Map unique</t>
        </is>
      </c>
    </row>
    <row r="151" ht="15" customHeight="1" s="39">
      <c r="A151" s="41" t="inlineStr">
        <is>
          <t>Map 6</t>
        </is>
      </c>
      <c r="B151" s="41" t="n">
        <v>6</v>
      </c>
      <c r="C151" s="41" t="inlineStr">
        <is>
          <t>Mangrove Mudskipper</t>
        </is>
      </c>
      <c r="D151" s="41" t="inlineStr">
        <is>
          <t>mangrove-mudskipper</t>
        </is>
      </c>
      <c r="E151" s="41" t="n"/>
      <c r="F151" s="41" t="inlineStr">
        <is>
          <t>Common</t>
        </is>
      </c>
      <c r="G151" s="41" t="n">
        <v>0</v>
      </c>
      <c r="H151" s="41" t="n">
        <v>0</v>
      </c>
      <c r="I151" s="41" t="n">
        <v>2</v>
      </c>
      <c r="J151" s="41" t="n">
        <v>4</v>
      </c>
      <c r="K151" s="42" t="inlineStr">
        <is>
          <t>Quick</t>
        </is>
      </c>
      <c r="L151" s="46" t="inlineStr">
        <is>
          <t>yes: Quick</t>
        </is>
      </c>
      <c r="M151" s="41" t="inlineStr">
        <is>
          <t>Fish (Aquatic)</t>
        </is>
      </c>
      <c r="N151" s="41" t="inlineStr">
        <is>
          <t>Reef &amp; Sea Fish</t>
        </is>
      </c>
      <c r="O151" s="41" t="inlineStr">
        <is>
          <t>Swamp (the black mire)</t>
        </is>
      </c>
      <c r="P151" s="42" t="inlineStr">
        <is>
          <t>Teaches Quick</t>
        </is>
      </c>
      <c r="Q151" s="41" t="inlineStr">
        <is>
          <t>Map unique</t>
        </is>
      </c>
    </row>
    <row r="152" ht="15" customHeight="1" s="39">
      <c r="A152" s="41" t="inlineStr">
        <is>
          <t>Map 6</t>
        </is>
      </c>
      <c r="B152" s="41" t="n">
        <v>6</v>
      </c>
      <c r="C152" s="41" t="inlineStr">
        <is>
          <t>Crocodile Ambusher</t>
        </is>
      </c>
      <c r="D152" s="41" t="inlineStr">
        <is>
          <t>crocodile-ambusher</t>
        </is>
      </c>
      <c r="E152" s="41" t="n"/>
      <c r="F152" s="41" t="inlineStr">
        <is>
          <t>Common</t>
        </is>
      </c>
      <c r="G152" s="41" t="n">
        <v>2</v>
      </c>
      <c r="H152" s="41" t="n">
        <v>3</v>
      </c>
      <c r="I152" s="41" t="n">
        <v>8</v>
      </c>
      <c r="J152" s="41" t="n">
        <v>24</v>
      </c>
      <c r="K152" s="42" t="inlineStr">
        <is>
          <t>Bounty 1</t>
        </is>
      </c>
      <c r="L152" s="41" t="n"/>
      <c r="M152" s="41" t="inlineStr">
        <is>
          <t>Reptile (Scaled)</t>
        </is>
      </c>
      <c r="N152" s="41" t="inlineStr">
        <is>
          <t>Crocodile</t>
        </is>
      </c>
      <c r="O152" s="41" t="inlineStr">
        <is>
          <t>Swamp (the black mire)</t>
        </is>
      </c>
      <c r="P152" s="42" t="inlineStr">
        <is>
          <t>Fits the map: swamp (the black mire)</t>
        </is>
      </c>
      <c r="Q152" s="41" t="inlineStr">
        <is>
          <t>Map unique</t>
        </is>
      </c>
    </row>
    <row r="153" ht="15" customHeight="1" s="39">
      <c r="A153" s="41" t="inlineStr">
        <is>
          <t>Map 6</t>
        </is>
      </c>
      <c r="B153" s="41" t="n">
        <v>6</v>
      </c>
      <c r="C153" s="41" t="inlineStr">
        <is>
          <t>Raccoon Bandit</t>
        </is>
      </c>
      <c r="D153" s="41" t="inlineStr">
        <is>
          <t>raccoon-bandit</t>
        </is>
      </c>
      <c r="E153" s="41" t="n"/>
      <c r="F153" s="41" t="inlineStr">
        <is>
          <t>Rare</t>
        </is>
      </c>
      <c r="G153" s="41" t="n">
        <v>0</v>
      </c>
      <c r="H153" s="41" t="n">
        <v>1</v>
      </c>
      <c r="I153" s="41" t="n">
        <v>3</v>
      </c>
      <c r="J153" s="41" t="n">
        <v>6</v>
      </c>
      <c r="K153" s="42" t="inlineStr">
        <is>
          <t>Nocturnal, Worthy 1</t>
        </is>
      </c>
      <c r="L153" s="46" t="inlineStr">
        <is>
          <t>yes: Nocturnal</t>
        </is>
      </c>
      <c r="M153" s="41" t="inlineStr">
        <is>
          <t>Procyonid (Beast)</t>
        </is>
      </c>
      <c r="N153" s="41" t="inlineStr">
        <is>
          <t>Raccoon</t>
        </is>
      </c>
      <c r="O153" s="41" t="inlineStr">
        <is>
          <t>Swamp (the black mire)</t>
        </is>
      </c>
      <c r="P153" s="42" t="inlineStr">
        <is>
          <t>Teaches Nocturnal</t>
        </is>
      </c>
      <c r="Q153" s="41" t="inlineStr">
        <is>
          <t>Map unique</t>
        </is>
      </c>
    </row>
    <row r="154" ht="15" customHeight="1" s="39">
      <c r="A154" s="44" t="inlineStr">
        <is>
          <t>Map 7</t>
        </is>
      </c>
      <c r="B154" s="44" t="n">
        <v>7</v>
      </c>
      <c r="C154" s="44" t="inlineStr">
        <is>
          <t>Nightshade Moth</t>
        </is>
      </c>
      <c r="D154" s="44" t="inlineStr">
        <is>
          <t>nightshade-moth</t>
        </is>
      </c>
      <c r="E154" s="44" t="n"/>
      <c r="F154" s="44" t="inlineStr">
        <is>
          <t>Common</t>
        </is>
      </c>
      <c r="G154" s="44" t="n">
        <v>2</v>
      </c>
      <c r="H154" s="44" t="n">
        <v>0</v>
      </c>
      <c r="I154" s="44" t="n">
        <v>3</v>
      </c>
      <c r="J154" s="44" t="n">
        <v>7</v>
      </c>
      <c r="K154" s="45" t="inlineStr">
        <is>
          <t>Sleep (50%), Flying, Nocturnal</t>
        </is>
      </c>
      <c r="L154" s="47" t="inlineStr">
        <is>
          <t>yes: Sleep</t>
        </is>
      </c>
      <c r="M154" s="44" t="inlineStr">
        <is>
          <t>Insect (Arthropod)</t>
        </is>
      </c>
      <c r="N154" s="44" t="inlineStr">
        <is>
          <t>Moth &amp; Butterfly</t>
        </is>
      </c>
      <c r="O154" s="44" t="inlineStr">
        <is>
          <t>Mushroom forest</t>
        </is>
      </c>
      <c r="P154" s="45" t="inlineStr">
        <is>
          <t>Teaches Sleep</t>
        </is>
      </c>
      <c r="Q154" s="44" t="inlineStr">
        <is>
          <t>Map unique</t>
        </is>
      </c>
    </row>
    <row r="155" ht="15" customHeight="1" s="39">
      <c r="A155" s="44" t="inlineStr">
        <is>
          <t>Map 7</t>
        </is>
      </c>
      <c r="B155" s="44" t="n">
        <v>7</v>
      </c>
      <c r="C155" s="44" t="inlineStr">
        <is>
          <t>Dung Beetle</t>
        </is>
      </c>
      <c r="D155" s="44" t="inlineStr">
        <is>
          <t>dung-beetle</t>
        </is>
      </c>
      <c r="E155" s="44" t="n"/>
      <c r="F155" s="44" t="inlineStr">
        <is>
          <t>Common</t>
        </is>
      </c>
      <c r="G155" s="44" t="n">
        <v>0</v>
      </c>
      <c r="H155" s="44" t="n">
        <v>0</v>
      </c>
      <c r="I155" s="44" t="n">
        <v>1</v>
      </c>
      <c r="J155" s="44" t="n">
        <v>4</v>
      </c>
      <c r="K155" s="45" t="inlineStr">
        <is>
          <t>Decay 1</t>
        </is>
      </c>
      <c r="L155" s="47" t="inlineStr">
        <is>
          <t>yes: Decay</t>
        </is>
      </c>
      <c r="M155" s="44" t="inlineStr">
        <is>
          <t>Insect (Arthropod)</t>
        </is>
      </c>
      <c r="N155" s="44" t="inlineStr">
        <is>
          <t>Beetle &amp; Bug</t>
        </is>
      </c>
      <c r="O155" s="44" t="inlineStr">
        <is>
          <t>Mushroom forest</t>
        </is>
      </c>
      <c r="P155" s="45" t="inlineStr">
        <is>
          <t>Teaches Decay</t>
        </is>
      </c>
      <c r="Q155" s="44" t="inlineStr">
        <is>
          <t>Map unique</t>
        </is>
      </c>
    </row>
    <row r="156" ht="15" customHeight="1" s="39">
      <c r="A156" s="44" t="inlineStr">
        <is>
          <t>Map 7</t>
        </is>
      </c>
      <c r="B156" s="44" t="n">
        <v>7</v>
      </c>
      <c r="C156" s="44" t="inlineStr">
        <is>
          <t>Bombardier Beetle</t>
        </is>
      </c>
      <c r="D156" s="44" t="inlineStr">
        <is>
          <t>bombardier-beetle</t>
        </is>
      </c>
      <c r="E156" s="44" t="n"/>
      <c r="F156" s="44" t="inlineStr">
        <is>
          <t>Uncommon</t>
        </is>
      </c>
      <c r="G156" s="44" t="n">
        <v>1</v>
      </c>
      <c r="H156" s="44" t="n">
        <v>2</v>
      </c>
      <c r="I156" s="44" t="n">
        <v>3</v>
      </c>
      <c r="J156" s="44" t="n">
        <v>10</v>
      </c>
      <c r="K156" s="45" t="inlineStr">
        <is>
          <t>Rocket 4</t>
        </is>
      </c>
      <c r="L156" s="47" t="inlineStr">
        <is>
          <t>yes: Rocket</t>
        </is>
      </c>
      <c r="M156" s="44" t="inlineStr">
        <is>
          <t>Insect (Arthropod)</t>
        </is>
      </c>
      <c r="N156" s="44" t="inlineStr">
        <is>
          <t>Beetle &amp; Bug</t>
        </is>
      </c>
      <c r="O156" s="44" t="inlineStr">
        <is>
          <t>Mushroom forest</t>
        </is>
      </c>
      <c r="P156" s="45" t="inlineStr">
        <is>
          <t>Teaches Rocket</t>
        </is>
      </c>
      <c r="Q156" s="44" t="inlineStr">
        <is>
          <t>Map unique</t>
        </is>
      </c>
    </row>
    <row r="157" ht="15" customHeight="1" s="39">
      <c r="A157" s="44" t="inlineStr">
        <is>
          <t>Map 7</t>
        </is>
      </c>
      <c r="B157" s="44" t="n">
        <v>7</v>
      </c>
      <c r="C157" s="44" t="inlineStr">
        <is>
          <t>Trapdoor Spider</t>
        </is>
      </c>
      <c r="D157" s="44" t="inlineStr">
        <is>
          <t>trapdoor-spider</t>
        </is>
      </c>
      <c r="E157" s="44" t="n"/>
      <c r="F157" s="44" t="inlineStr">
        <is>
          <t>Rare</t>
        </is>
      </c>
      <c r="G157" s="44" t="n">
        <v>0</v>
      </c>
      <c r="H157" s="44" t="n">
        <v>1</v>
      </c>
      <c r="I157" s="44" t="n">
        <v>4</v>
      </c>
      <c r="J157" s="44" t="n">
        <v>5</v>
      </c>
      <c r="K157" s="45" t="inlineStr">
        <is>
          <t>Poison 1</t>
        </is>
      </c>
      <c r="L157" s="44" t="n"/>
      <c r="M157" s="44" t="inlineStr">
        <is>
          <t>Arachnid (Arthropod)</t>
        </is>
      </c>
      <c r="N157" s="44" t="inlineStr">
        <is>
          <t>Spider &amp; Scorpion</t>
        </is>
      </c>
      <c r="O157" s="44" t="inlineStr">
        <is>
          <t>Mushroom forest</t>
        </is>
      </c>
      <c r="P157" s="45" t="inlineStr">
        <is>
          <t>Fits the map: mushroom forest</t>
        </is>
      </c>
      <c r="Q157" s="44" t="inlineStr">
        <is>
          <t>Map unique</t>
        </is>
      </c>
    </row>
    <row r="158" ht="15" customHeight="1" s="39">
      <c r="A158" s="41" t="inlineStr">
        <is>
          <t>Map 8</t>
        </is>
      </c>
      <c r="B158" s="41" t="n">
        <v>8</v>
      </c>
      <c r="C158" s="41" t="inlineStr">
        <is>
          <t>Echo Matriarch</t>
        </is>
      </c>
      <c r="D158" s="41" t="inlineStr">
        <is>
          <t>echo-matriarch</t>
        </is>
      </c>
      <c r="E158" s="41" t="n"/>
      <c r="F158" s="41" t="inlineStr">
        <is>
          <t>Heroic</t>
        </is>
      </c>
      <c r="G158" s="41" t="n">
        <v>2</v>
      </c>
      <c r="H158" s="41" t="n">
        <v>2</v>
      </c>
      <c r="I158" s="41" t="n">
        <v>4</v>
      </c>
      <c r="J158" s="41" t="n">
        <v>12</v>
      </c>
      <c r="K158" s="42" t="inlineStr">
        <is>
          <t>Flying, Nocturnal, Ready Strike 3</t>
        </is>
      </c>
      <c r="L158" s="46" t="inlineStr">
        <is>
          <t>yes: Ready Strike</t>
        </is>
      </c>
      <c r="M158" s="41" t="inlineStr">
        <is>
          <t>Bat (Beast)</t>
        </is>
      </c>
      <c r="N158" s="41" t="inlineStr">
        <is>
          <t>Bat</t>
        </is>
      </c>
      <c r="O158" s="41" t="inlineStr">
        <is>
          <t>Cave</t>
        </is>
      </c>
      <c r="P158" s="42" t="inlineStr">
        <is>
          <t>Boss leader of the map</t>
        </is>
      </c>
      <c r="Q158" s="41" t="inlineStr">
        <is>
          <t>Map unique</t>
        </is>
      </c>
    </row>
    <row r="159" ht="15" customHeight="1" s="39">
      <c r="A159" s="41" t="inlineStr">
        <is>
          <t>Map 8</t>
        </is>
      </c>
      <c r="B159" s="41" t="n">
        <v>8</v>
      </c>
      <c r="C159" s="41" t="inlineStr">
        <is>
          <t>Echo Screecher</t>
        </is>
      </c>
      <c r="D159" s="41" t="inlineStr">
        <is>
          <t>echo-screecher</t>
        </is>
      </c>
      <c r="E159" s="41" t="n"/>
      <c r="F159" s="41" t="inlineStr">
        <is>
          <t>Rare</t>
        </is>
      </c>
      <c r="G159" s="41" t="n">
        <v>1</v>
      </c>
      <c r="H159" s="41" t="n">
        <v>1</v>
      </c>
      <c r="I159" s="41" t="n">
        <v>4</v>
      </c>
      <c r="J159" s="41" t="n">
        <v>6</v>
      </c>
      <c r="K159" s="42" t="inlineStr">
        <is>
          <t>Ready Strike 3, Flying, Nocturnal</t>
        </is>
      </c>
      <c r="L159" s="46" t="inlineStr">
        <is>
          <t>yes: Ready Strike</t>
        </is>
      </c>
      <c r="M159" s="41" t="inlineStr">
        <is>
          <t>Bat (Beast)</t>
        </is>
      </c>
      <c r="N159" s="41" t="inlineStr">
        <is>
          <t>Bat</t>
        </is>
      </c>
      <c r="O159" s="41" t="inlineStr">
        <is>
          <t>Cave</t>
        </is>
      </c>
      <c r="P159" s="42" t="inlineStr">
        <is>
          <t>Teaches Ready Strike</t>
        </is>
      </c>
      <c r="Q159" s="41" t="inlineStr">
        <is>
          <t>Map unique</t>
        </is>
      </c>
    </row>
    <row r="160" ht="15" customHeight="1" s="39">
      <c r="A160" s="41" t="inlineStr">
        <is>
          <t>Map 8</t>
        </is>
      </c>
      <c r="B160" s="41" t="n">
        <v>8</v>
      </c>
      <c r="C160" s="41" t="inlineStr">
        <is>
          <t>Stalactite Golem</t>
        </is>
      </c>
      <c r="D160" s="41" t="inlineStr">
        <is>
          <t>stalactite-golem</t>
        </is>
      </c>
      <c r="E160" s="41" t="n"/>
      <c r="F160" s="41" t="inlineStr">
        <is>
          <t>Common</t>
        </is>
      </c>
      <c r="G160" s="41" t="n">
        <v>2</v>
      </c>
      <c r="H160" s="41" t="n">
        <v>3</v>
      </c>
      <c r="I160" s="41" t="n">
        <v>6</v>
      </c>
      <c r="J160" s="41" t="n">
        <v>26</v>
      </c>
      <c r="K160" s="42" t="inlineStr">
        <is>
          <t>Shell 3, Darksight</t>
        </is>
      </c>
      <c r="L160" s="46" t="inlineStr">
        <is>
          <t>yes: Shell, Darksight</t>
        </is>
      </c>
      <c r="M160" s="41" t="inlineStr">
        <is>
          <t>Elemental</t>
        </is>
      </c>
      <c r="N160" s="41" t="inlineStr">
        <is>
          <t>Elemental</t>
        </is>
      </c>
      <c r="O160" s="41" t="inlineStr">
        <is>
          <t>Cave</t>
        </is>
      </c>
      <c r="P160" s="42" t="inlineStr">
        <is>
          <t>Teaches Shell, Darksight</t>
        </is>
      </c>
      <c r="Q160" s="41" t="inlineStr">
        <is>
          <t>Map unique</t>
        </is>
      </c>
    </row>
    <row r="161" ht="15" customHeight="1" s="39">
      <c r="A161" s="41" t="inlineStr">
        <is>
          <t>Map 8</t>
        </is>
      </c>
      <c r="B161" s="41" t="n">
        <v>8</v>
      </c>
      <c r="C161" s="41" t="inlineStr">
        <is>
          <t>Quarry Mole</t>
        </is>
      </c>
      <c r="D161" s="41" t="inlineStr">
        <is>
          <t>quarry-mole</t>
        </is>
      </c>
      <c r="E161" s="41" t="n"/>
      <c r="F161" s="41" t="inlineStr">
        <is>
          <t>Common</t>
        </is>
      </c>
      <c r="G161" s="41" t="n">
        <v>0</v>
      </c>
      <c r="H161" s="41" t="n">
        <v>1</v>
      </c>
      <c r="I161" s="41" t="n">
        <v>2</v>
      </c>
      <c r="J161" s="41" t="n">
        <v>10</v>
      </c>
      <c r="K161" s="42" t="inlineStr">
        <is>
          <t>Darksight</t>
        </is>
      </c>
      <c r="L161" s="46" t="inlineStr">
        <is>
          <t>yes: Darksight</t>
        </is>
      </c>
      <c r="M161" s="41" t="inlineStr">
        <is>
          <t>Rodent (Beast)</t>
        </is>
      </c>
      <c r="N161" s="41" t="inlineStr">
        <is>
          <t>Mole</t>
        </is>
      </c>
      <c r="O161" s="41" t="inlineStr">
        <is>
          <t>Cave</t>
        </is>
      </c>
      <c r="P161" s="42" t="inlineStr">
        <is>
          <t>Teaches Darksight</t>
        </is>
      </c>
      <c r="Q161" s="41" t="inlineStr">
        <is>
          <t>Map unique</t>
        </is>
      </c>
    </row>
    <row r="162" ht="15" customHeight="1" s="39">
      <c r="A162" s="44" t="inlineStr">
        <is>
          <t>Map 9</t>
        </is>
      </c>
      <c r="B162" s="44" t="n">
        <v>9</v>
      </c>
      <c r="C162" s="44" t="inlineStr">
        <is>
          <t>Gull Thief</t>
        </is>
      </c>
      <c r="D162" s="44" t="inlineStr">
        <is>
          <t>gull-thief</t>
        </is>
      </c>
      <c r="E162" s="44" t="n"/>
      <c r="F162" s="44" t="inlineStr">
        <is>
          <t>Common</t>
        </is>
      </c>
      <c r="G162" s="44" t="n">
        <v>0</v>
      </c>
      <c r="H162" s="44" t="n">
        <v>0</v>
      </c>
      <c r="I162" s="44" t="n">
        <v>2</v>
      </c>
      <c r="J162" s="44" t="n">
        <v>3</v>
      </c>
      <c r="K162" s="45" t="inlineStr">
        <is>
          <t>Loot 1, Flying</t>
        </is>
      </c>
      <c r="L162" s="47" t="inlineStr">
        <is>
          <t>yes: Loot</t>
        </is>
      </c>
      <c r="M162" s="44" t="inlineStr">
        <is>
          <t>Bird</t>
        </is>
      </c>
      <c r="N162" s="44" t="inlineStr">
        <is>
          <t>Waterbird</t>
        </is>
      </c>
      <c r="O162" s="44" t="inlineStr">
        <is>
          <t>Ocean (mangrove coast)</t>
        </is>
      </c>
      <c r="P162" s="45" t="inlineStr">
        <is>
          <t>Teaches Loot</t>
        </is>
      </c>
      <c r="Q162" s="44" t="inlineStr">
        <is>
          <t>Map unique</t>
        </is>
      </c>
    </row>
    <row r="163" ht="15" customHeight="1" s="39">
      <c r="A163" s="44" t="inlineStr">
        <is>
          <t>Map 9</t>
        </is>
      </c>
      <c r="B163" s="44" t="n">
        <v>9</v>
      </c>
      <c r="C163" s="44" t="inlineStr">
        <is>
          <t>Clownfish Scout</t>
        </is>
      </c>
      <c r="D163" s="44" t="inlineStr">
        <is>
          <t>clownfish-scout</t>
        </is>
      </c>
      <c r="E163" s="44" t="n"/>
      <c r="F163" s="44" t="inlineStr">
        <is>
          <t>Common</t>
        </is>
      </c>
      <c r="G163" s="44" t="n">
        <v>0</v>
      </c>
      <c r="H163" s="44" t="n">
        <v>0</v>
      </c>
      <c r="I163" s="44" t="n">
        <v>1</v>
      </c>
      <c r="J163" s="44" t="n">
        <v>5</v>
      </c>
      <c r="K163" s="45" t="inlineStr">
        <is>
          <t>Guardian, Tide, Swimmer</t>
        </is>
      </c>
      <c r="L163" s="47" t="inlineStr">
        <is>
          <t>yes: Guardian</t>
        </is>
      </c>
      <c r="M163" s="44" t="inlineStr">
        <is>
          <t>Fish (Aquatic)</t>
        </is>
      </c>
      <c r="N163" s="44" t="inlineStr">
        <is>
          <t>Reef &amp; Sea Fish</t>
        </is>
      </c>
      <c r="O163" s="44" t="inlineStr">
        <is>
          <t>Ocean (mangrove coast)</t>
        </is>
      </c>
      <c r="P163" s="45" t="inlineStr">
        <is>
          <t>Teaches Guardian</t>
        </is>
      </c>
      <c r="Q163" s="44" t="inlineStr">
        <is>
          <t>Map unique</t>
        </is>
      </c>
    </row>
    <row r="164" ht="15" customHeight="1" s="39">
      <c r="A164" s="44" t="inlineStr">
        <is>
          <t>Map 9</t>
        </is>
      </c>
      <c r="B164" s="44" t="n">
        <v>9</v>
      </c>
      <c r="C164" s="44" t="inlineStr">
        <is>
          <t>Riptide Eel</t>
        </is>
      </c>
      <c r="D164" s="44" t="inlineStr">
        <is>
          <t>riptide-eel</t>
        </is>
      </c>
      <c r="E164" s="44" t="n"/>
      <c r="F164" s="44" t="inlineStr">
        <is>
          <t>Uncommon</t>
        </is>
      </c>
      <c r="G164" s="44" t="n">
        <v>1</v>
      </c>
      <c r="H164" s="44" t="n">
        <v>1</v>
      </c>
      <c r="I164" s="44" t="n">
        <v>7</v>
      </c>
      <c r="J164" s="44" t="n">
        <v>5</v>
      </c>
      <c r="K164" s="45" t="inlineStr">
        <is>
          <t>Reload 1, Tide, Wash, Swimmer</t>
        </is>
      </c>
      <c r="L164" s="47" t="inlineStr">
        <is>
          <t>yes: Reload</t>
        </is>
      </c>
      <c r="M164" s="44" t="inlineStr">
        <is>
          <t>Fish (Aquatic)</t>
        </is>
      </c>
      <c r="N164" s="44" t="inlineStr">
        <is>
          <t>Eel</t>
        </is>
      </c>
      <c r="O164" s="44" t="inlineStr">
        <is>
          <t>Ocean (mangrove coast)</t>
        </is>
      </c>
      <c r="P164" s="45" t="inlineStr">
        <is>
          <t>Teaches Reload</t>
        </is>
      </c>
      <c r="Q164" s="44" t="inlineStr">
        <is>
          <t>Map unique</t>
        </is>
      </c>
    </row>
    <row r="165" ht="15" customHeight="1" s="39">
      <c r="A165" s="44" t="inlineStr">
        <is>
          <t>Map 9</t>
        </is>
      </c>
      <c r="B165" s="44" t="n">
        <v>9</v>
      </c>
      <c r="C165" s="44" t="inlineStr">
        <is>
          <t>Mangrove Monitor</t>
        </is>
      </c>
      <c r="D165" s="44" t="inlineStr">
        <is>
          <t>mangrove-monitor</t>
        </is>
      </c>
      <c r="E165" s="44" t="n"/>
      <c r="F165" s="44" t="inlineStr">
        <is>
          <t>Common</t>
        </is>
      </c>
      <c r="G165" s="44" t="n">
        <v>1</v>
      </c>
      <c r="H165" s="44" t="n">
        <v>1</v>
      </c>
      <c r="I165" s="44" t="n">
        <v>4</v>
      </c>
      <c r="J165" s="44" t="n">
        <v>10</v>
      </c>
      <c r="K165" s="45" t="inlineStr">
        <is>
          <t>Bounty 1</t>
        </is>
      </c>
      <c r="L165" s="44" t="n"/>
      <c r="M165" s="44" t="inlineStr">
        <is>
          <t>Reptile (Scaled)</t>
        </is>
      </c>
      <c r="N165" s="44" t="inlineStr">
        <is>
          <t>Lizard</t>
        </is>
      </c>
      <c r="O165" s="44" t="inlineStr">
        <is>
          <t>Ocean (mangrove coast)</t>
        </is>
      </c>
      <c r="P165" s="45" t="inlineStr">
        <is>
          <t>Fits the map: ocean (mangrove coast)</t>
        </is>
      </c>
      <c r="Q165" s="44" t="inlineStr">
        <is>
          <t>Map unique</t>
        </is>
      </c>
    </row>
    <row r="166" ht="15" customHeight="1" s="39">
      <c r="A166" s="41" t="inlineStr">
        <is>
          <t>Map 10</t>
        </is>
      </c>
      <c r="B166" s="41" t="n">
        <v>10</v>
      </c>
      <c r="C166" s="41" t="inlineStr">
        <is>
          <t>Reef Admiral</t>
        </is>
      </c>
      <c r="D166" s="41" t="inlineStr">
        <is>
          <t>reef-admiral</t>
        </is>
      </c>
      <c r="E166" s="41" t="n"/>
      <c r="F166" s="41" t="inlineStr">
        <is>
          <t>Heroic</t>
        </is>
      </c>
      <c r="G166" s="41" t="n">
        <v>2</v>
      </c>
      <c r="H166" s="41" t="n">
        <v>2</v>
      </c>
      <c r="I166" s="41" t="n">
        <v>4</v>
      </c>
      <c r="J166" s="41" t="n">
        <v>16</v>
      </c>
      <c r="K166" s="42" t="inlineStr">
        <is>
          <t>Evasive, Tide, Swimmer</t>
        </is>
      </c>
      <c r="L166" s="41" t="n"/>
      <c r="M166" s="41" t="inlineStr">
        <is>
          <t>Fish (Aquatic)</t>
        </is>
      </c>
      <c r="N166" s="41" t="inlineStr">
        <is>
          <t>Reef &amp; Sea Fish</t>
        </is>
      </c>
      <c r="O166" s="41" t="inlineStr">
        <is>
          <t>Ocean (open sea)</t>
        </is>
      </c>
      <c r="P166" s="42" t="inlineStr">
        <is>
          <t>Boss leader of the map</t>
        </is>
      </c>
      <c r="Q166" s="41" t="inlineStr">
        <is>
          <t>Map unique</t>
        </is>
      </c>
    </row>
    <row r="167" ht="15" customHeight="1" s="39">
      <c r="A167" s="41" t="inlineStr">
        <is>
          <t>Map 10</t>
        </is>
      </c>
      <c r="B167" s="41" t="n">
        <v>10</v>
      </c>
      <c r="C167" s="41" t="inlineStr">
        <is>
          <t>Coral Reef Shark</t>
        </is>
      </c>
      <c r="D167" s="41" t="inlineStr">
        <is>
          <t>coral-reef-shark</t>
        </is>
      </c>
      <c r="E167" s="41" t="n"/>
      <c r="F167" s="41" t="inlineStr">
        <is>
          <t>Uncommon</t>
        </is>
      </c>
      <c r="G167" s="41" t="n">
        <v>2</v>
      </c>
      <c r="H167" s="41" t="n">
        <v>1</v>
      </c>
      <c r="I167" s="41" t="n">
        <v>7</v>
      </c>
      <c r="J167" s="41" t="n">
        <v>14</v>
      </c>
      <c r="K167" s="42" t="inlineStr">
        <is>
          <t>Crit, Tide, Swimmer</t>
        </is>
      </c>
      <c r="L167" s="46" t="inlineStr">
        <is>
          <t>yes: Crit</t>
        </is>
      </c>
      <c r="M167" s="41" t="inlineStr">
        <is>
          <t>Fish (Aquatic)</t>
        </is>
      </c>
      <c r="N167" s="41" t="inlineStr">
        <is>
          <t>Shark &amp; Ray</t>
        </is>
      </c>
      <c r="O167" s="41" t="inlineStr">
        <is>
          <t>Ocean (open sea)</t>
        </is>
      </c>
      <c r="P167" s="42" t="inlineStr">
        <is>
          <t>Teaches Crit</t>
        </is>
      </c>
      <c r="Q167" s="41" t="inlineStr">
        <is>
          <t>Map unique</t>
        </is>
      </c>
    </row>
    <row r="168" ht="15" customHeight="1" s="39">
      <c r="A168" s="41" t="inlineStr">
        <is>
          <t>Map 10</t>
        </is>
      </c>
      <c r="B168" s="41" t="n">
        <v>10</v>
      </c>
      <c r="C168" s="41" t="inlineStr">
        <is>
          <t>Voltaic Eel</t>
        </is>
      </c>
      <c r="D168" s="41" t="inlineStr">
        <is>
          <t>voltaic-eel</t>
        </is>
      </c>
      <c r="E168" s="41" t="n"/>
      <c r="F168" s="41" t="inlineStr">
        <is>
          <t>Rare</t>
        </is>
      </c>
      <c r="G168" s="41" t="n">
        <v>3</v>
      </c>
      <c r="H168" s="41" t="n">
        <v>0</v>
      </c>
      <c r="I168" s="41" t="n">
        <v>3</v>
      </c>
      <c r="J168" s="41" t="n">
        <v>10</v>
      </c>
      <c r="K168" s="42" t="inlineStr">
        <is>
          <t>Stall 2, Shock (40%), Swimmer</t>
        </is>
      </c>
      <c r="L168" s="46" t="inlineStr">
        <is>
          <t>yes: Stall, Shock</t>
        </is>
      </c>
      <c r="M168" s="41" t="inlineStr">
        <is>
          <t>Fish (Aquatic)</t>
        </is>
      </c>
      <c r="N168" s="41" t="inlineStr">
        <is>
          <t>Eel</t>
        </is>
      </c>
      <c r="O168" s="41" t="inlineStr">
        <is>
          <t>Ocean (open sea)</t>
        </is>
      </c>
      <c r="P168" s="42" t="inlineStr">
        <is>
          <t>Teaches Stall, Shock</t>
        </is>
      </c>
      <c r="Q168" s="41" t="inlineStr">
        <is>
          <t>Map unique</t>
        </is>
      </c>
    </row>
    <row r="169" ht="15" customHeight="1" s="39">
      <c r="A169" s="41" t="inlineStr">
        <is>
          <t>Map 10</t>
        </is>
      </c>
      <c r="B169" s="41" t="n">
        <v>10</v>
      </c>
      <c r="C169" s="41" t="inlineStr">
        <is>
          <t>Pufferfish Bulwark</t>
        </is>
      </c>
      <c r="D169" s="41" t="inlineStr">
        <is>
          <t>pufferfish-bulwark</t>
        </is>
      </c>
      <c r="E169" s="41" t="n"/>
      <c r="F169" s="41" t="inlineStr">
        <is>
          <t>Common</t>
        </is>
      </c>
      <c r="G169" s="41" t="n">
        <v>1</v>
      </c>
      <c r="H169" s="41" t="n">
        <v>2</v>
      </c>
      <c r="I169" s="41" t="n">
        <v>2</v>
      </c>
      <c r="J169" s="41" t="n">
        <v>20</v>
      </c>
      <c r="K169" s="42" t="inlineStr">
        <is>
          <t>Bounty 1, Tide, Swimmer</t>
        </is>
      </c>
      <c r="L169" s="41" t="n"/>
      <c r="M169" s="41" t="inlineStr">
        <is>
          <t>Fish (Aquatic)</t>
        </is>
      </c>
      <c r="N169" s="41" t="inlineStr">
        <is>
          <t>Reef &amp; Sea Fish</t>
        </is>
      </c>
      <c r="O169" s="41" t="inlineStr">
        <is>
          <t>Ocean (open sea)</t>
        </is>
      </c>
      <c r="P169" s="42" t="inlineStr">
        <is>
          <t>Fits the map: ocean (open sea)</t>
        </is>
      </c>
      <c r="Q169" s="41" t="inlineStr">
        <is>
          <t>Map unique</t>
        </is>
      </c>
    </row>
    <row r="170" ht="15" customHeight="1" s="39">
      <c r="A170" s="44" t="inlineStr">
        <is>
          <t>Map 11</t>
        </is>
      </c>
      <c r="B170" s="44" t="n">
        <v>11</v>
      </c>
      <c r="C170" s="44" t="inlineStr">
        <is>
          <t>Eyrie Warden</t>
        </is>
      </c>
      <c r="D170" s="44" t="inlineStr">
        <is>
          <t>eyrie-warden</t>
        </is>
      </c>
      <c r="E170" s="44" t="n"/>
      <c r="F170" s="44" t="inlineStr">
        <is>
          <t>Common</t>
        </is>
      </c>
      <c r="G170" s="44" t="n">
        <v>3</v>
      </c>
      <c r="H170" s="44" t="n">
        <v>3</v>
      </c>
      <c r="I170" s="44" t="n">
        <v>9</v>
      </c>
      <c r="J170" s="44" t="n">
        <v>28</v>
      </c>
      <c r="K170" s="45" t="inlineStr">
        <is>
          <t>Ready Strike 6, Bounty 1, Flying, Daunt 1</t>
        </is>
      </c>
      <c r="L170" s="47" t="inlineStr">
        <is>
          <t>yes: Daunt</t>
        </is>
      </c>
      <c r="M170" s="44" t="inlineStr">
        <is>
          <t>Bird</t>
        </is>
      </c>
      <c r="N170" s="44" t="inlineStr">
        <is>
          <t>Eagle &amp; Hawk</t>
        </is>
      </c>
      <c r="O170" s="44" t="inlineStr">
        <is>
          <t>Mountain cliffs</t>
        </is>
      </c>
      <c r="P170" s="45" t="inlineStr">
        <is>
          <t>Teaches Daunt</t>
        </is>
      </c>
      <c r="Q170" s="44" t="inlineStr">
        <is>
          <t>Map unique</t>
        </is>
      </c>
    </row>
    <row r="171" ht="15" customHeight="1" s="39">
      <c r="A171" s="44" t="inlineStr">
        <is>
          <t>Map 11</t>
        </is>
      </c>
      <c r="B171" s="44" t="n">
        <v>11</v>
      </c>
      <c r="C171" s="44" t="inlineStr">
        <is>
          <t>Stonedrop Vulture</t>
        </is>
      </c>
      <c r="D171" s="44" t="inlineStr">
        <is>
          <t>stonedrop-vulture</t>
        </is>
      </c>
      <c r="E171" s="44" t="n"/>
      <c r="F171" s="44" t="inlineStr">
        <is>
          <t>Uncommon</t>
        </is>
      </c>
      <c r="G171" s="44" t="n">
        <v>1</v>
      </c>
      <c r="H171" s="44" t="n">
        <v>1</v>
      </c>
      <c r="I171" s="44" t="n">
        <v>3</v>
      </c>
      <c r="J171" s="44" t="n">
        <v>6</v>
      </c>
      <c r="K171" s="45" t="inlineStr">
        <is>
          <t>Flying, Skyfall 3</t>
        </is>
      </c>
      <c r="L171" s="47" t="inlineStr">
        <is>
          <t>yes: Skyfall</t>
        </is>
      </c>
      <c r="M171" s="44" t="inlineStr">
        <is>
          <t>Bird</t>
        </is>
      </c>
      <c r="N171" s="44" t="inlineStr">
        <is>
          <t>Eagle &amp; Hawk</t>
        </is>
      </c>
      <c r="O171" s="44" t="inlineStr">
        <is>
          <t>Mountain cliffs</t>
        </is>
      </c>
      <c r="P171" s="45" t="inlineStr">
        <is>
          <t>Teaches Skyfall</t>
        </is>
      </c>
      <c r="Q171" s="44" t="inlineStr">
        <is>
          <t>Map unique</t>
        </is>
      </c>
    </row>
    <row r="172" ht="15" customHeight="1" s="39">
      <c r="A172" s="44" t="inlineStr">
        <is>
          <t>Map 11</t>
        </is>
      </c>
      <c r="B172" s="44" t="n">
        <v>11</v>
      </c>
      <c r="C172" s="44" t="inlineStr">
        <is>
          <t>Chipmunk Hoarder</t>
        </is>
      </c>
      <c r="D172" s="44" t="inlineStr">
        <is>
          <t>chipmunk-hoarder</t>
        </is>
      </c>
      <c r="E172" s="44" t="n"/>
      <c r="F172" s="44" t="inlineStr">
        <is>
          <t>Common</t>
        </is>
      </c>
      <c r="G172" s="44" t="n">
        <v>0</v>
      </c>
      <c r="H172" s="44" t="n">
        <v>1</v>
      </c>
      <c r="I172" s="44" t="n">
        <v>1</v>
      </c>
      <c r="J172" s="44" t="n">
        <v>5</v>
      </c>
      <c r="K172" s="45" t="inlineStr">
        <is>
          <t>Lumber when Ready 1</t>
        </is>
      </c>
      <c r="L172" s="47" t="inlineStr">
        <is>
          <t>yes: Lumber when Ready</t>
        </is>
      </c>
      <c r="M172" s="44" t="inlineStr">
        <is>
          <t>Rodent (Beast)</t>
        </is>
      </c>
      <c r="N172" s="44" t="inlineStr">
        <is>
          <t>Chipmunk &amp; Squirrel</t>
        </is>
      </c>
      <c r="O172" s="44" t="inlineStr">
        <is>
          <t>Mountain cliffs</t>
        </is>
      </c>
      <c r="P172" s="45" t="inlineStr">
        <is>
          <t>Teaches Lumber when Ready</t>
        </is>
      </c>
      <c r="Q172" s="44" t="inlineStr">
        <is>
          <t>Map unique</t>
        </is>
      </c>
    </row>
    <row r="173" ht="15" customHeight="1" s="39">
      <c r="A173" s="44" t="inlineStr">
        <is>
          <t>Map 11</t>
        </is>
      </c>
      <c r="B173" s="44" t="n">
        <v>11</v>
      </c>
      <c r="C173" s="43" t="inlineStr">
        <is>
          <t>Alpine Marmot</t>
        </is>
      </c>
      <c r="D173" s="43" t="inlineStr">
        <is>
          <t>alpine-marmot</t>
        </is>
      </c>
      <c r="E173" s="43" t="inlineStr">
        <is>
          <t>yes</t>
        </is>
      </c>
      <c r="F173" s="44" t="inlineStr">
        <is>
          <t>Common</t>
        </is>
      </c>
      <c r="G173" s="44" t="n">
        <v>0</v>
      </c>
      <c r="H173" s="44" t="n">
        <v>1</v>
      </c>
      <c r="I173" s="44" t="n">
        <v>2</v>
      </c>
      <c r="J173" s="44" t="n">
        <v>8</v>
      </c>
      <c r="K173" s="45" t="inlineStr">
        <is>
          <t>Guardian</t>
        </is>
      </c>
      <c r="L173" s="44" t="n"/>
      <c r="M173" s="44" t="inlineStr">
        <is>
          <t>Rodent (Beast)</t>
        </is>
      </c>
      <c r="N173" s="44" t="inlineStr">
        <is>
          <t>Chipmunk &amp; Squirrel</t>
        </is>
      </c>
      <c r="O173" s="44" t="inlineStr">
        <is>
          <t>Mountain cliffs</t>
        </is>
      </c>
      <c r="P173" s="45" t="inlineStr">
        <is>
          <t>Fits the map: mountain cliffs</t>
        </is>
      </c>
      <c r="Q173" s="44" t="inlineStr">
        <is>
          <t>Map unique</t>
        </is>
      </c>
    </row>
    <row r="174" ht="15" customHeight="1" s="39">
      <c r="A174" s="41" t="inlineStr">
        <is>
          <t>Map 12</t>
        </is>
      </c>
      <c r="B174" s="41" t="n">
        <v>12</v>
      </c>
      <c r="C174" s="41" t="inlineStr">
        <is>
          <t>Rodent King</t>
        </is>
      </c>
      <c r="D174" s="41" t="inlineStr">
        <is>
          <t>rodent-king</t>
        </is>
      </c>
      <c r="E174" s="41" t="n"/>
      <c r="F174" s="41" t="inlineStr">
        <is>
          <t>Uncommon</t>
        </is>
      </c>
      <c r="G174" s="41" t="n">
        <v>2</v>
      </c>
      <c r="H174" s="41" t="n">
        <v>2</v>
      </c>
      <c r="I174" s="41" t="n">
        <v>5</v>
      </c>
      <c r="J174" s="41" t="n">
        <v>19</v>
      </c>
      <c r="K174" s="42" t="inlineStr">
        <is>
          <t>Lumber when Ready 1, Bounty 1</t>
        </is>
      </c>
      <c r="L174" s="41" t="n"/>
      <c r="M174" s="41" t="inlineStr">
        <is>
          <t>Rodent (Beast)</t>
        </is>
      </c>
      <c r="N174" s="41" t="inlineStr">
        <is>
          <t>Mouse &amp; Rat</t>
        </is>
      </c>
      <c r="O174" s="41" t="inlineStr">
        <is>
          <t>Briar hedge maze</t>
        </is>
      </c>
      <c r="P174" s="42" t="inlineStr">
        <is>
          <t>Fits the map: briar hedge maze</t>
        </is>
      </c>
      <c r="Q174" s="41" t="inlineStr">
        <is>
          <t>Map unique</t>
        </is>
      </c>
    </row>
    <row r="175" ht="15" customHeight="1" s="39">
      <c r="A175" s="41" t="inlineStr">
        <is>
          <t>Map 12</t>
        </is>
      </c>
      <c r="B175" s="41" t="n">
        <v>12</v>
      </c>
      <c r="C175" s="41" t="inlineStr">
        <is>
          <t>Cunning Vixen</t>
        </is>
      </c>
      <c r="D175" s="41" t="inlineStr">
        <is>
          <t>cunning-vixen</t>
        </is>
      </c>
      <c r="E175" s="41" t="n"/>
      <c r="F175" s="41" t="inlineStr">
        <is>
          <t>Uncommon</t>
        </is>
      </c>
      <c r="G175" s="41" t="n">
        <v>1</v>
      </c>
      <c r="H175" s="41" t="n">
        <v>1</v>
      </c>
      <c r="I175" s="41" t="n">
        <v>3</v>
      </c>
      <c r="J175" s="41" t="n">
        <v>8</v>
      </c>
      <c r="K175" s="42" t="inlineStr">
        <is>
          <t>Evasive, Backstab 2</t>
        </is>
      </c>
      <c r="L175" s="46" t="inlineStr">
        <is>
          <t>yes: Backstab</t>
        </is>
      </c>
      <c r="M175" s="41" t="inlineStr">
        <is>
          <t>Canid (Beast)</t>
        </is>
      </c>
      <c r="N175" s="41" t="inlineStr">
        <is>
          <t>Fox</t>
        </is>
      </c>
      <c r="O175" s="41" t="inlineStr">
        <is>
          <t>Briar hedge maze</t>
        </is>
      </c>
      <c r="P175" s="42" t="inlineStr">
        <is>
          <t>Teaches Backstab</t>
        </is>
      </c>
      <c r="Q175" s="41" t="inlineStr">
        <is>
          <t>Map unique</t>
        </is>
      </c>
    </row>
    <row r="176" ht="15" customHeight="1" s="39">
      <c r="A176" s="41" t="inlineStr">
        <is>
          <t>Map 12</t>
        </is>
      </c>
      <c r="B176" s="41" t="n">
        <v>12</v>
      </c>
      <c r="C176" s="41" t="inlineStr">
        <is>
          <t>Puddle Changeling</t>
        </is>
      </c>
      <c r="D176" s="41" t="inlineStr">
        <is>
          <t>puddle-changeling</t>
        </is>
      </c>
      <c r="E176" s="41" t="n"/>
      <c r="F176" s="41" t="inlineStr">
        <is>
          <t>Common</t>
        </is>
      </c>
      <c r="G176" s="41" t="n">
        <v>0</v>
      </c>
      <c r="H176" s="41" t="n">
        <v>0</v>
      </c>
      <c r="I176" s="41" t="n">
        <v>2</v>
      </c>
      <c r="J176" s="41" t="n">
        <v>5</v>
      </c>
      <c r="K176" s="42" t="inlineStr">
        <is>
          <t>Changeling</t>
        </is>
      </c>
      <c r="L176" s="46" t="inlineStr">
        <is>
          <t>yes: Changeling</t>
        </is>
      </c>
      <c r="M176" s="41" t="inlineStr">
        <is>
          <t>—</t>
        </is>
      </c>
      <c r="N176" s="41" t="inlineStr">
        <is>
          <t>Changeling</t>
        </is>
      </c>
      <c r="O176" s="41" t="inlineStr">
        <is>
          <t>Briar hedge maze</t>
        </is>
      </c>
      <c r="P176" s="42" t="inlineStr">
        <is>
          <t>Teaches Changeling</t>
        </is>
      </c>
      <c r="Q176" s="41" t="inlineStr">
        <is>
          <t>Map unique</t>
        </is>
      </c>
    </row>
    <row r="177" ht="15" customHeight="1" s="39">
      <c r="A177" s="41" t="inlineStr">
        <is>
          <t>Map 12</t>
        </is>
      </c>
      <c r="B177" s="41" t="n">
        <v>12</v>
      </c>
      <c r="C177" s="41" t="inlineStr">
        <is>
          <t>Quillback Elder</t>
        </is>
      </c>
      <c r="D177" s="41" t="inlineStr">
        <is>
          <t>quillback-elder</t>
        </is>
      </c>
      <c r="E177" s="41" t="n"/>
      <c r="F177" s="41" t="inlineStr">
        <is>
          <t>Common</t>
        </is>
      </c>
      <c r="G177" s="41" t="n">
        <v>2</v>
      </c>
      <c r="H177" s="41" t="n">
        <v>2</v>
      </c>
      <c r="I177" s="41" t="n">
        <v>4</v>
      </c>
      <c r="J177" s="41" t="n">
        <v>26</v>
      </c>
      <c r="K177" s="42" t="inlineStr">
        <is>
          <t>Armor 3</t>
        </is>
      </c>
      <c r="L177" s="41" t="n"/>
      <c r="M177" s="41" t="inlineStr">
        <is>
          <t>Rodent (Beast)</t>
        </is>
      </c>
      <c r="N177" s="41" t="inlineStr">
        <is>
          <t>Porcupine</t>
        </is>
      </c>
      <c r="O177" s="41" t="inlineStr">
        <is>
          <t>Briar hedge maze</t>
        </is>
      </c>
      <c r="P177" s="42" t="inlineStr">
        <is>
          <t>Fits the map: briar hedge maze</t>
        </is>
      </c>
      <c r="Q177" s="41" t="inlineStr">
        <is>
          <t>Map unique</t>
        </is>
      </c>
    </row>
    <row r="178" ht="15" customHeight="1" s="39">
      <c r="A178" s="44" t="inlineStr">
        <is>
          <t>Map 13</t>
        </is>
      </c>
      <c r="B178" s="44" t="n">
        <v>13</v>
      </c>
      <c r="C178" s="44" t="inlineStr">
        <is>
          <t>Grizzly Vanguard</t>
        </is>
      </c>
      <c r="D178" s="44" t="inlineStr">
        <is>
          <t>grizzly-vanguard</t>
        </is>
      </c>
      <c r="E178" s="44" t="n"/>
      <c r="F178" s="44" t="inlineStr">
        <is>
          <t>Common</t>
        </is>
      </c>
      <c r="G178" s="44" t="n">
        <v>2</v>
      </c>
      <c r="H178" s="44" t="n">
        <v>3</v>
      </c>
      <c r="I178" s="44" t="n">
        <v>7</v>
      </c>
      <c r="J178" s="44" t="n">
        <v>30</v>
      </c>
      <c r="K178" s="45" t="inlineStr">
        <is>
          <t>Cleave 1, Bounty 1</t>
        </is>
      </c>
      <c r="L178" s="47" t="inlineStr">
        <is>
          <t>yes: Cleave</t>
        </is>
      </c>
      <c r="M178" s="44" t="inlineStr">
        <is>
          <t>Ursid (Beast)</t>
        </is>
      </c>
      <c r="N178" s="44" t="inlineStr">
        <is>
          <t>Bear</t>
        </is>
      </c>
      <c r="O178" s="44" t="inlineStr">
        <is>
          <t>Redwood forest</t>
        </is>
      </c>
      <c r="P178" s="45" t="inlineStr">
        <is>
          <t>Teaches Cleave</t>
        </is>
      </c>
      <c r="Q178" s="44" t="inlineStr">
        <is>
          <t>Map unique</t>
        </is>
      </c>
    </row>
    <row r="179" ht="15" customHeight="1" s="39">
      <c r="A179" s="44" t="inlineStr">
        <is>
          <t>Map 13</t>
        </is>
      </c>
      <c r="B179" s="44" t="n">
        <v>13</v>
      </c>
      <c r="C179" s="44" t="inlineStr">
        <is>
          <t>Berserker Boar</t>
        </is>
      </c>
      <c r="D179" s="44" t="inlineStr">
        <is>
          <t>berserker-boar</t>
        </is>
      </c>
      <c r="E179" s="44" t="n"/>
      <c r="F179" s="44" t="inlineStr">
        <is>
          <t>Common</t>
        </is>
      </c>
      <c r="G179" s="44" t="n">
        <v>2</v>
      </c>
      <c r="H179" s="44" t="n">
        <v>1</v>
      </c>
      <c r="I179" s="44" t="n">
        <v>6</v>
      </c>
      <c r="J179" s="44" t="n">
        <v>16</v>
      </c>
      <c r="K179" s="45" t="inlineStr">
        <is>
          <t>Rage</t>
        </is>
      </c>
      <c r="L179" s="47" t="inlineStr">
        <is>
          <t>yes: Rage</t>
        </is>
      </c>
      <c r="M179" s="44" t="inlineStr">
        <is>
          <t>Suid (Beast)</t>
        </is>
      </c>
      <c r="N179" s="44" t="inlineStr">
        <is>
          <t>Boar</t>
        </is>
      </c>
      <c r="O179" s="44" t="inlineStr">
        <is>
          <t>Redwood forest</t>
        </is>
      </c>
      <c r="P179" s="45" t="inlineStr">
        <is>
          <t>Teaches Rage</t>
        </is>
      </c>
      <c r="Q179" s="44" t="inlineStr">
        <is>
          <t>Map unique</t>
        </is>
      </c>
    </row>
    <row r="180" ht="15" customHeight="1" s="39">
      <c r="A180" s="44" t="inlineStr">
        <is>
          <t>Map 13</t>
        </is>
      </c>
      <c r="B180" s="44" t="n">
        <v>13</v>
      </c>
      <c r="C180" s="44" t="inlineStr">
        <is>
          <t>Fawn Scout</t>
        </is>
      </c>
      <c r="D180" s="44" t="inlineStr">
        <is>
          <t>fawn-scout</t>
        </is>
      </c>
      <c r="E180" s="44" t="n"/>
      <c r="F180" s="44" t="inlineStr">
        <is>
          <t>Rare</t>
        </is>
      </c>
      <c r="G180" s="44" t="n">
        <v>0</v>
      </c>
      <c r="H180" s="44" t="n">
        <v>0</v>
      </c>
      <c r="I180" s="44" t="n">
        <v>2</v>
      </c>
      <c r="J180" s="44" t="n">
        <v>7</v>
      </c>
      <c r="K180" s="45" t="inlineStr">
        <is>
          <t>Keen Eye</t>
        </is>
      </c>
      <c r="L180" s="47" t="inlineStr">
        <is>
          <t>yes: Keen Eye</t>
        </is>
      </c>
      <c r="M180" s="44" t="inlineStr">
        <is>
          <t>Cervid (Beast)</t>
        </is>
      </c>
      <c r="N180" s="44" t="inlineStr">
        <is>
          <t>Deer &amp; Elk</t>
        </is>
      </c>
      <c r="O180" s="44" t="inlineStr">
        <is>
          <t>Redwood forest</t>
        </is>
      </c>
      <c r="P180" s="45" t="inlineStr">
        <is>
          <t>Teaches Keen Eye</t>
        </is>
      </c>
      <c r="Q180" s="44" t="inlineStr">
        <is>
          <t>Map unique</t>
        </is>
      </c>
    </row>
    <row r="181" ht="15" customHeight="1" s="39">
      <c r="A181" s="44" t="inlineStr">
        <is>
          <t>Map 13</t>
        </is>
      </c>
      <c r="B181" s="44" t="n">
        <v>13</v>
      </c>
      <c r="C181" s="44" t="inlineStr">
        <is>
          <t>Stag Knight</t>
        </is>
      </c>
      <c r="D181" s="44" t="inlineStr">
        <is>
          <t>stag-knight</t>
        </is>
      </c>
      <c r="E181" s="44" t="n"/>
      <c r="F181" s="44" t="inlineStr">
        <is>
          <t>Common</t>
        </is>
      </c>
      <c r="G181" s="44" t="n">
        <v>2</v>
      </c>
      <c r="H181" s="44" t="n">
        <v>2</v>
      </c>
      <c r="I181" s="44" t="n">
        <v>6</v>
      </c>
      <c r="J181" s="44" t="n">
        <v>22</v>
      </c>
      <c r="K181" s="45" t="inlineStr">
        <is>
          <t>Bounty 1</t>
        </is>
      </c>
      <c r="L181" s="44" t="n"/>
      <c r="M181" s="44" t="inlineStr">
        <is>
          <t>Cervid (Beast)</t>
        </is>
      </c>
      <c r="N181" s="44" t="inlineStr">
        <is>
          <t>Deer &amp; Elk</t>
        </is>
      </c>
      <c r="O181" s="44" t="inlineStr">
        <is>
          <t>Redwood forest</t>
        </is>
      </c>
      <c r="P181" s="45" t="inlineStr">
        <is>
          <t>Fits the map: redwood forest</t>
        </is>
      </c>
      <c r="Q181" s="44" t="inlineStr">
        <is>
          <t>Map unique</t>
        </is>
      </c>
    </row>
    <row r="182" ht="15" customHeight="1" s="39">
      <c r="A182" s="41" t="inlineStr">
        <is>
          <t>Map 14</t>
        </is>
      </c>
      <c r="B182" s="41" t="n">
        <v>14</v>
      </c>
      <c r="C182" s="41" t="inlineStr">
        <is>
          <t>Pride Queen</t>
        </is>
      </c>
      <c r="D182" s="41" t="inlineStr">
        <is>
          <t>pride-queen</t>
        </is>
      </c>
      <c r="E182" s="41" t="n"/>
      <c r="F182" s="41" t="inlineStr">
        <is>
          <t>Heroic</t>
        </is>
      </c>
      <c r="G182" s="41" t="n">
        <v>3</v>
      </c>
      <c r="H182" s="41" t="n">
        <v>1</v>
      </c>
      <c r="I182" s="41" t="n">
        <v>5</v>
      </c>
      <c r="J182" s="41" t="n">
        <v>16</v>
      </c>
      <c r="K182" s="42" t="inlineStr">
        <is>
          <t>Quick</t>
        </is>
      </c>
      <c r="L182" s="41" t="n"/>
      <c r="M182" s="41" t="inlineStr">
        <is>
          <t>Felid (Beast)</t>
        </is>
      </c>
      <c r="N182" s="41" t="inlineStr">
        <is>
          <t>Cat</t>
        </is>
      </c>
      <c r="O182" s="41" t="inlineStr">
        <is>
          <t>Savanna (and rainforest canopy)</t>
        </is>
      </c>
      <c r="P182" s="42" t="inlineStr">
        <is>
          <t>Boss leader of the map</t>
        </is>
      </c>
      <c r="Q182" s="41" t="inlineStr">
        <is>
          <t>Map unique</t>
        </is>
      </c>
    </row>
    <row r="183" ht="15" customHeight="1" s="39">
      <c r="A183" s="41" t="inlineStr">
        <is>
          <t>Map 14</t>
        </is>
      </c>
      <c r="B183" s="41" t="n">
        <v>14</v>
      </c>
      <c r="C183" s="41" t="inlineStr">
        <is>
          <t>Marching Elephant</t>
        </is>
      </c>
      <c r="D183" s="41" t="inlineStr">
        <is>
          <t>marching-elephant</t>
        </is>
      </c>
      <c r="E183" s="41" t="n"/>
      <c r="F183" s="41" t="inlineStr">
        <is>
          <t>Rare</t>
        </is>
      </c>
      <c r="G183" s="41" t="n">
        <v>2</v>
      </c>
      <c r="H183" s="41" t="n">
        <v>3</v>
      </c>
      <c r="I183" s="41" t="n">
        <v>7</v>
      </c>
      <c r="J183" s="41" t="n">
        <v>30</v>
      </c>
      <c r="K183" s="42" t="inlineStr">
        <is>
          <t>Stampede, Armor 1</t>
        </is>
      </c>
      <c r="L183" s="46" t="inlineStr">
        <is>
          <t>yes: Stampede</t>
        </is>
      </c>
      <c r="M183" s="41" t="inlineStr">
        <is>
          <t>Mammal</t>
        </is>
      </c>
      <c r="N183" s="41" t="inlineStr">
        <is>
          <t>Big Beast</t>
        </is>
      </c>
      <c r="O183" s="41" t="inlineStr">
        <is>
          <t>Savanna (and rainforest canopy)</t>
        </is>
      </c>
      <c r="P183" s="42" t="inlineStr">
        <is>
          <t>Teaches Stampede</t>
        </is>
      </c>
      <c r="Q183" s="41" t="inlineStr">
        <is>
          <t>Map unique</t>
        </is>
      </c>
    </row>
    <row r="184" ht="15" customHeight="1" s="39">
      <c r="A184" s="41" t="inlineStr">
        <is>
          <t>Map 14</t>
        </is>
      </c>
      <c r="B184" s="41" t="n">
        <v>14</v>
      </c>
      <c r="C184" s="41" t="inlineStr">
        <is>
          <t>Siege Rhino</t>
        </is>
      </c>
      <c r="D184" s="41" t="inlineStr">
        <is>
          <t>siege-rhino</t>
        </is>
      </c>
      <c r="E184" s="41" t="n"/>
      <c r="F184" s="41" t="inlineStr">
        <is>
          <t>Rare</t>
        </is>
      </c>
      <c r="G184" s="41" t="n">
        <v>2</v>
      </c>
      <c r="H184" s="41" t="n">
        <v>3</v>
      </c>
      <c r="I184" s="41" t="n">
        <v>8</v>
      </c>
      <c r="J184" s="41" t="n">
        <v>24</v>
      </c>
      <c r="K184" s="42" t="inlineStr">
        <is>
          <t>Siege 4, Demolisher 3</t>
        </is>
      </c>
      <c r="L184" s="46" t="inlineStr">
        <is>
          <t>yes: Siege, Demolisher</t>
        </is>
      </c>
      <c r="M184" s="41" t="inlineStr">
        <is>
          <t>Mammal</t>
        </is>
      </c>
      <c r="N184" s="41" t="inlineStr">
        <is>
          <t>Big Beast</t>
        </is>
      </c>
      <c r="O184" s="41" t="inlineStr">
        <is>
          <t>Savanna (and rainforest canopy)</t>
        </is>
      </c>
      <c r="P184" s="42" t="inlineStr">
        <is>
          <t>Teaches Siege, Demolisher</t>
        </is>
      </c>
      <c r="Q184" s="41" t="inlineStr">
        <is>
          <t>Map unique</t>
        </is>
      </c>
    </row>
    <row r="185" ht="15" customHeight="1" s="39">
      <c r="A185" s="41" t="inlineStr">
        <is>
          <t>Map 14</t>
        </is>
      </c>
      <c r="B185" s="41" t="n">
        <v>14</v>
      </c>
      <c r="C185" s="41" t="inlineStr">
        <is>
          <t>Dust Hyena</t>
        </is>
      </c>
      <c r="D185" s="41" t="inlineStr">
        <is>
          <t>dust-hyena</t>
        </is>
      </c>
      <c r="E185" s="41" t="n"/>
      <c r="F185" s="41" t="inlineStr">
        <is>
          <t>Rare</t>
        </is>
      </c>
      <c r="G185" s="41" t="n">
        <v>0</v>
      </c>
      <c r="H185" s="41" t="n">
        <v>0</v>
      </c>
      <c r="I185" s="41" t="n">
        <v>2</v>
      </c>
      <c r="J185" s="41" t="n">
        <v>8</v>
      </c>
      <c r="K185" s="42" t="inlineStr">
        <is>
          <t>Loot 1</t>
        </is>
      </c>
      <c r="L185" s="41" t="n"/>
      <c r="M185" s="41" t="inlineStr">
        <is>
          <t>Hyaenid (Beast)</t>
        </is>
      </c>
      <c r="N185" s="41" t="inlineStr">
        <is>
          <t>Jackal &amp; Hyena</t>
        </is>
      </c>
      <c r="O185" s="41" t="inlineStr">
        <is>
          <t>Savanna (and rainforest canopy)</t>
        </is>
      </c>
      <c r="P185" s="42" t="inlineStr">
        <is>
          <t>Fits the map: savanna (and rainforest canopy)</t>
        </is>
      </c>
      <c r="Q185" s="41" t="inlineStr">
        <is>
          <t>Map unique</t>
        </is>
      </c>
    </row>
    <row r="186" ht="15" customHeight="1" s="39">
      <c r="A186" s="44" t="inlineStr">
        <is>
          <t>Map 15</t>
        </is>
      </c>
      <c r="B186" s="44" t="n">
        <v>15</v>
      </c>
      <c r="C186" s="44" t="inlineStr">
        <is>
          <t>Sergeant Bramblefox</t>
        </is>
      </c>
      <c r="D186" s="44" t="inlineStr">
        <is>
          <t>sergeant-bramblefox</t>
        </is>
      </c>
      <c r="E186" s="44" t="n"/>
      <c r="F186" s="44" t="inlineStr">
        <is>
          <t>Heroic</t>
        </is>
      </c>
      <c r="G186" s="44" t="n">
        <v>2</v>
      </c>
      <c r="H186" s="44" t="n">
        <v>2</v>
      </c>
      <c r="I186" s="44" t="n">
        <v>4</v>
      </c>
      <c r="J186" s="44" t="n">
        <v>14</v>
      </c>
      <c r="K186" s="45" t="inlineStr">
        <is>
          <t>Rally 1</t>
        </is>
      </c>
      <c r="L186" s="47" t="inlineStr">
        <is>
          <t>yes: Rally</t>
        </is>
      </c>
      <c r="M186" s="44" t="inlineStr">
        <is>
          <t>Canid (Beast)</t>
        </is>
      </c>
      <c r="N186" s="44" t="inlineStr">
        <is>
          <t>Fox</t>
        </is>
      </c>
      <c r="O186" s="44" t="inlineStr">
        <is>
          <t>Plains and farms</t>
        </is>
      </c>
      <c r="P186" s="45" t="inlineStr">
        <is>
          <t>Boss leader of the map</t>
        </is>
      </c>
      <c r="Q186" s="44" t="inlineStr">
        <is>
          <t>Map unique</t>
        </is>
      </c>
    </row>
    <row r="187" ht="15" customHeight="1" s="39">
      <c r="A187" s="44" t="inlineStr">
        <is>
          <t>Map 15</t>
        </is>
      </c>
      <c r="B187" s="44" t="n">
        <v>15</v>
      </c>
      <c r="C187" s="44" t="inlineStr">
        <is>
          <t>Shieldbearer Hound</t>
        </is>
      </c>
      <c r="D187" s="44" t="inlineStr">
        <is>
          <t>shieldbearer-hound</t>
        </is>
      </c>
      <c r="E187" s="44" t="n"/>
      <c r="F187" s="44" t="inlineStr">
        <is>
          <t>Rare</t>
        </is>
      </c>
      <c r="G187" s="44" t="n">
        <v>2</v>
      </c>
      <c r="H187" s="44" t="n">
        <v>2</v>
      </c>
      <c r="I187" s="44" t="n">
        <v>2</v>
      </c>
      <c r="J187" s="44" t="n">
        <v>5</v>
      </c>
      <c r="K187" s="45" t="inlineStr">
        <is>
          <t>Shield Call</t>
        </is>
      </c>
      <c r="L187" s="47" t="inlineStr">
        <is>
          <t>yes: Shield Call</t>
        </is>
      </c>
      <c r="M187" s="44" t="inlineStr">
        <is>
          <t>Canid (Beast)</t>
        </is>
      </c>
      <c r="N187" s="44" t="inlineStr">
        <is>
          <t>Dog</t>
        </is>
      </c>
      <c r="O187" s="44" t="inlineStr">
        <is>
          <t>Plains and farms</t>
        </is>
      </c>
      <c r="P187" s="45" t="inlineStr">
        <is>
          <t>Teaches Shield Call</t>
        </is>
      </c>
      <c r="Q187" s="44" t="inlineStr">
        <is>
          <t>Map unique</t>
        </is>
      </c>
    </row>
    <row r="188" ht="15" customHeight="1" s="39">
      <c r="A188" s="44" t="inlineStr">
        <is>
          <t>Map 15</t>
        </is>
      </c>
      <c r="B188" s="44" t="n">
        <v>15</v>
      </c>
      <c r="C188" s="44" t="inlineStr">
        <is>
          <t>Cataphract Destrier</t>
        </is>
      </c>
      <c r="D188" s="44" t="inlineStr">
        <is>
          <t>cataphract-destrier</t>
        </is>
      </c>
      <c r="E188" s="44" t="n"/>
      <c r="F188" s="44" t="inlineStr">
        <is>
          <t>Common</t>
        </is>
      </c>
      <c r="G188" s="44" t="n">
        <v>4</v>
      </c>
      <c r="H188" s="44" t="n">
        <v>4</v>
      </c>
      <c r="I188" s="44" t="n">
        <v>11</v>
      </c>
      <c r="J188" s="44" t="n">
        <v>52</v>
      </c>
      <c r="K188" s="45" t="inlineStr">
        <is>
          <t>Ready Strike 6, Bounty 1, Stampede</t>
        </is>
      </c>
      <c r="L188" s="44" t="n"/>
      <c r="M188" s="44" t="inlineStr">
        <is>
          <t>Equid (Beast)</t>
        </is>
      </c>
      <c r="N188" s="44" t="inlineStr">
        <is>
          <t>Horse</t>
        </is>
      </c>
      <c r="O188" s="44" t="inlineStr">
        <is>
          <t>Plains and farms</t>
        </is>
      </c>
      <c r="P188" s="45" t="inlineStr">
        <is>
          <t>Fits the map: plains and farms</t>
        </is>
      </c>
      <c r="Q188" s="44" t="inlineStr">
        <is>
          <t>Map unique</t>
        </is>
      </c>
    </row>
    <row r="189" ht="15" customHeight="1" s="39">
      <c r="A189" s="44" t="inlineStr">
        <is>
          <t>Map 15</t>
        </is>
      </c>
      <c r="B189" s="44" t="n">
        <v>15</v>
      </c>
      <c r="C189" s="44" t="inlineStr">
        <is>
          <t>Squire's Mount</t>
        </is>
      </c>
      <c r="D189" s="44" t="inlineStr">
        <is>
          <t>squires-mount</t>
        </is>
      </c>
      <c r="E189" s="44" t="n"/>
      <c r="F189" s="44" t="inlineStr">
        <is>
          <t>Rare</t>
        </is>
      </c>
      <c r="G189" s="44" t="n">
        <v>1</v>
      </c>
      <c r="H189" s="44" t="n">
        <v>1</v>
      </c>
      <c r="I189" s="44" t="n">
        <v>4</v>
      </c>
      <c r="J189" s="44" t="n">
        <v>14</v>
      </c>
      <c r="K189" s="45" t="inlineStr">
        <is>
          <t>Bounty 1</t>
        </is>
      </c>
      <c r="L189" s="44" t="n"/>
      <c r="M189" s="44" t="inlineStr">
        <is>
          <t>Equid (Beast)</t>
        </is>
      </c>
      <c r="N189" s="44" t="inlineStr">
        <is>
          <t>Horse</t>
        </is>
      </c>
      <c r="O189" s="44" t="inlineStr">
        <is>
          <t>Plains and farms</t>
        </is>
      </c>
      <c r="P189" s="45" t="inlineStr">
        <is>
          <t>Fits the map: plains and farms</t>
        </is>
      </c>
      <c r="Q189" s="44" t="inlineStr">
        <is>
          <t>Map unique</t>
        </is>
      </c>
    </row>
    <row r="190" ht="15" customHeight="1" s="39">
      <c r="A190" s="41" t="inlineStr">
        <is>
          <t>Map 16</t>
        </is>
      </c>
      <c r="B190" s="41" t="n">
        <v>16</v>
      </c>
      <c r="C190" s="41" t="inlineStr">
        <is>
          <t>Wolfsbane Alpha</t>
        </is>
      </c>
      <c r="D190" s="41" t="inlineStr">
        <is>
          <t>wolfsbane-alpha</t>
        </is>
      </c>
      <c r="E190" s="41" t="n"/>
      <c r="F190" s="41" t="inlineStr">
        <is>
          <t>Heroic</t>
        </is>
      </c>
      <c r="G190" s="41" t="n">
        <v>3</v>
      </c>
      <c r="H190" s="41" t="n">
        <v>2</v>
      </c>
      <c r="I190" s="41" t="n">
        <v>5</v>
      </c>
      <c r="J190" s="41" t="n">
        <v>18</v>
      </c>
      <c r="K190" s="42" t="inlineStr">
        <is>
          <t>Bleed 2, Nocturnal</t>
        </is>
      </c>
      <c r="L190" s="41" t="n"/>
      <c r="M190" s="41" t="inlineStr">
        <is>
          <t>Canid (Beast)</t>
        </is>
      </c>
      <c r="N190" s="41" t="inlineStr">
        <is>
          <t>Wolf</t>
        </is>
      </c>
      <c r="O190" s="41" t="inlineStr">
        <is>
          <t>Taiga</t>
        </is>
      </c>
      <c r="P190" s="42" t="inlineStr">
        <is>
          <t>Boss leader of the map</t>
        </is>
      </c>
      <c r="Q190" s="41" t="inlineStr">
        <is>
          <t>Map unique</t>
        </is>
      </c>
    </row>
    <row r="191" ht="15" customHeight="1" s="39">
      <c r="A191" s="41" t="inlineStr">
        <is>
          <t>Map 16</t>
        </is>
      </c>
      <c r="B191" s="41" t="n">
        <v>16</v>
      </c>
      <c r="C191" s="41" t="inlineStr">
        <is>
          <t>Lone Grey Wolf</t>
        </is>
      </c>
      <c r="D191" s="41" t="inlineStr">
        <is>
          <t>lone-grey-wolf</t>
        </is>
      </c>
      <c r="E191" s="41" t="n"/>
      <c r="F191" s="41" t="inlineStr">
        <is>
          <t>Rare</t>
        </is>
      </c>
      <c r="G191" s="41" t="n">
        <v>3</v>
      </c>
      <c r="H191" s="41" t="n">
        <v>2</v>
      </c>
      <c r="I191" s="41" t="n">
        <v>4</v>
      </c>
      <c r="J191" s="41" t="n">
        <v>18</v>
      </c>
      <c r="K191" s="42" t="inlineStr">
        <is>
          <t>Lone Wolf 1/1</t>
        </is>
      </c>
      <c r="L191" s="46" t="inlineStr">
        <is>
          <t>yes: Lone Wolf</t>
        </is>
      </c>
      <c r="M191" s="41" t="inlineStr">
        <is>
          <t>Canid (Beast)</t>
        </is>
      </c>
      <c r="N191" s="41" t="inlineStr">
        <is>
          <t>Wolf</t>
        </is>
      </c>
      <c r="O191" s="41" t="inlineStr">
        <is>
          <t>Taiga</t>
        </is>
      </c>
      <c r="P191" s="42" t="inlineStr">
        <is>
          <t>Teaches Lone Wolf</t>
        </is>
      </c>
      <c r="Q191" s="41" t="inlineStr">
        <is>
          <t>Map unique</t>
        </is>
      </c>
    </row>
    <row r="192" ht="15" customHeight="1" s="39">
      <c r="A192" s="41" t="inlineStr">
        <is>
          <t>Map 16</t>
        </is>
      </c>
      <c r="B192" s="41" t="n">
        <v>16</v>
      </c>
      <c r="C192" s="41" t="inlineStr">
        <is>
          <t>Lunar Howler</t>
        </is>
      </c>
      <c r="D192" s="41" t="inlineStr">
        <is>
          <t>lunar-howler</t>
        </is>
      </c>
      <c r="E192" s="41" t="n"/>
      <c r="F192" s="41" t="inlineStr">
        <is>
          <t>Rare</t>
        </is>
      </c>
      <c r="G192" s="41" t="n">
        <v>2</v>
      </c>
      <c r="H192" s="41" t="n">
        <v>2</v>
      </c>
      <c r="I192" s="41" t="n">
        <v>3</v>
      </c>
      <c r="J192" s="41" t="n">
        <v>14</v>
      </c>
      <c r="K192" s="42" t="inlineStr">
        <is>
          <t>Moonborn 4</t>
        </is>
      </c>
      <c r="L192" s="46" t="inlineStr">
        <is>
          <t>yes: Moonborn</t>
        </is>
      </c>
      <c r="M192" s="41" t="inlineStr">
        <is>
          <t>Canid (Beast)</t>
        </is>
      </c>
      <c r="N192" s="41" t="inlineStr">
        <is>
          <t>Wolf</t>
        </is>
      </c>
      <c r="O192" s="41" t="inlineStr">
        <is>
          <t>Taiga</t>
        </is>
      </c>
      <c r="P192" s="42" t="inlineStr">
        <is>
          <t>Teaches Moonborn</t>
        </is>
      </c>
      <c r="Q192" s="41" t="inlineStr">
        <is>
          <t>Map unique</t>
        </is>
      </c>
    </row>
    <row r="193" ht="15" customHeight="1" s="39">
      <c r="A193" s="41" t="inlineStr">
        <is>
          <t>Map 16</t>
        </is>
      </c>
      <c r="B193" s="41" t="n">
        <v>16</v>
      </c>
      <c r="C193" s="41" t="inlineStr">
        <is>
          <t>Taiga Lynx</t>
        </is>
      </c>
      <c r="D193" s="41" t="inlineStr">
        <is>
          <t>taiga-lynx</t>
        </is>
      </c>
      <c r="E193" s="41" t="n"/>
      <c r="F193" s="41" t="inlineStr">
        <is>
          <t>Rare</t>
        </is>
      </c>
      <c r="G193" s="41" t="n">
        <v>1</v>
      </c>
      <c r="H193" s="41" t="n">
        <v>0</v>
      </c>
      <c r="I193" s="41" t="n">
        <v>3</v>
      </c>
      <c r="J193" s="41" t="n">
        <v>8</v>
      </c>
      <c r="K193" s="42" t="inlineStr">
        <is>
          <t>Evasive</t>
        </is>
      </c>
      <c r="L193" s="41" t="n"/>
      <c r="M193" s="41" t="inlineStr">
        <is>
          <t>Felid (Beast)</t>
        </is>
      </c>
      <c r="N193" s="41" t="inlineStr">
        <is>
          <t>Cat</t>
        </is>
      </c>
      <c r="O193" s="41" t="inlineStr">
        <is>
          <t>Taiga</t>
        </is>
      </c>
      <c r="P193" s="42" t="inlineStr">
        <is>
          <t>Fits the map: taiga</t>
        </is>
      </c>
      <c r="Q193" s="41" t="inlineStr">
        <is>
          <t>Map unique</t>
        </is>
      </c>
    </row>
    <row r="194" ht="15" customHeight="1" s="39">
      <c r="A194" s="44" t="inlineStr">
        <is>
          <t>Map 17</t>
        </is>
      </c>
      <c r="B194" s="44" t="n">
        <v>17</v>
      </c>
      <c r="C194" s="44" t="inlineStr">
        <is>
          <t>Yeti Chieftain</t>
        </is>
      </c>
      <c r="D194" s="44" t="inlineStr">
        <is>
          <t>yeti-chieftain</t>
        </is>
      </c>
      <c r="E194" s="44" t="n"/>
      <c r="F194" s="44" t="inlineStr">
        <is>
          <t>Heroic</t>
        </is>
      </c>
      <c r="G194" s="44" t="n">
        <v>3</v>
      </c>
      <c r="H194" s="44" t="n">
        <v>3</v>
      </c>
      <c r="I194" s="44" t="n">
        <v>6</v>
      </c>
      <c r="J194" s="44" t="n">
        <v>24</v>
      </c>
      <c r="K194" s="45" t="inlineStr">
        <is>
          <t>Rage</t>
        </is>
      </c>
      <c r="L194" s="44" t="n"/>
      <c r="M194" s="44" t="inlineStr">
        <is>
          <t>Primate (Beast)</t>
        </is>
      </c>
      <c r="N194" s="44" t="inlineStr">
        <is>
          <t>Ape &amp; Monkey</t>
        </is>
      </c>
      <c r="O194" s="44" t="inlineStr">
        <is>
          <t>Ice</t>
        </is>
      </c>
      <c r="P194" s="45" t="inlineStr">
        <is>
          <t>Boss leader of the map</t>
        </is>
      </c>
      <c r="Q194" s="44" t="inlineStr">
        <is>
          <t>Map unique</t>
        </is>
      </c>
    </row>
    <row r="195" ht="15" customHeight="1" s="39">
      <c r="A195" s="44" t="inlineStr">
        <is>
          <t>Map 17</t>
        </is>
      </c>
      <c r="B195" s="44" t="n">
        <v>17</v>
      </c>
      <c r="C195" s="44" t="inlineStr">
        <is>
          <t>Glacier Yak</t>
        </is>
      </c>
      <c r="D195" s="44" t="inlineStr">
        <is>
          <t>glacier-yak</t>
        </is>
      </c>
      <c r="E195" s="44" t="n"/>
      <c r="F195" s="44" t="inlineStr">
        <is>
          <t>Common</t>
        </is>
      </c>
      <c r="G195" s="44" t="n">
        <v>3</v>
      </c>
      <c r="H195" s="44" t="n">
        <v>1</v>
      </c>
      <c r="I195" s="44" t="n">
        <v>4</v>
      </c>
      <c r="J195" s="44" t="n">
        <v>16</v>
      </c>
      <c r="K195" s="45" t="inlineStr">
        <is>
          <t>Freeze (40%), Stall 2</t>
        </is>
      </c>
      <c r="L195" s="47" t="inlineStr">
        <is>
          <t>yes: Freeze</t>
        </is>
      </c>
      <c r="M195" s="44" t="inlineStr">
        <is>
          <t>Bovine (Beast)</t>
        </is>
      </c>
      <c r="N195" s="44" t="inlineStr">
        <is>
          <t>Goat &amp; Ox</t>
        </is>
      </c>
      <c r="O195" s="44" t="inlineStr">
        <is>
          <t>Ice</t>
        </is>
      </c>
      <c r="P195" s="45" t="inlineStr">
        <is>
          <t>Teaches Freeze</t>
        </is>
      </c>
      <c r="Q195" s="44" t="inlineStr">
        <is>
          <t>Map unique</t>
        </is>
      </c>
    </row>
    <row r="196" ht="15" customHeight="1" s="39">
      <c r="A196" s="44" t="inlineStr">
        <is>
          <t>Map 17</t>
        </is>
      </c>
      <c r="B196" s="44" t="n">
        <v>17</v>
      </c>
      <c r="C196" s="44" t="inlineStr">
        <is>
          <t>Frostbitten Wolverine</t>
        </is>
      </c>
      <c r="D196" s="44" t="inlineStr">
        <is>
          <t>frostbitten-wolverine</t>
        </is>
      </c>
      <c r="E196" s="44" t="n"/>
      <c r="F196" s="44" t="inlineStr">
        <is>
          <t>Uncommon</t>
        </is>
      </c>
      <c r="G196" s="44" t="n">
        <v>1</v>
      </c>
      <c r="H196" s="44" t="n">
        <v>1</v>
      </c>
      <c r="I196" s="44" t="n">
        <v>3</v>
      </c>
      <c r="J196" s="44" t="n">
        <v>12</v>
      </c>
      <c r="K196" s="45" t="inlineStr">
        <is>
          <t>Frostbite 1</t>
        </is>
      </c>
      <c r="L196" s="47" t="inlineStr">
        <is>
          <t>yes: Frostbite</t>
        </is>
      </c>
      <c r="M196" s="44" t="inlineStr">
        <is>
          <t>Mustelid (Beast)</t>
        </is>
      </c>
      <c r="N196" s="44" t="inlineStr">
        <is>
          <t>Stoat &amp; Weasel</t>
        </is>
      </c>
      <c r="O196" s="44" t="inlineStr">
        <is>
          <t>Ice</t>
        </is>
      </c>
      <c r="P196" s="45" t="inlineStr">
        <is>
          <t>Teaches Frostbite</t>
        </is>
      </c>
      <c r="Q196" s="44" t="inlineStr">
        <is>
          <t>Map unique</t>
        </is>
      </c>
    </row>
    <row r="197" ht="15" customHeight="1" s="39">
      <c r="A197" s="44" t="inlineStr">
        <is>
          <t>Map 17</t>
        </is>
      </c>
      <c r="B197" s="44" t="n">
        <v>17</v>
      </c>
      <c r="C197" s="44" t="inlineStr">
        <is>
          <t>Yeti</t>
        </is>
      </c>
      <c r="D197" s="44" t="inlineStr">
        <is>
          <t>yeti</t>
        </is>
      </c>
      <c r="E197" s="44" t="n"/>
      <c r="F197" s="44" t="inlineStr">
        <is>
          <t>Common</t>
        </is>
      </c>
      <c r="G197" s="44" t="n">
        <v>3</v>
      </c>
      <c r="H197" s="44" t="n">
        <v>5</v>
      </c>
      <c r="I197" s="44" t="n">
        <v>10</v>
      </c>
      <c r="J197" s="44" t="n">
        <v>50</v>
      </c>
      <c r="K197" s="45" t="inlineStr">
        <is>
          <t>Bounty 1, Scare 2</t>
        </is>
      </c>
      <c r="L197" s="47" t="inlineStr">
        <is>
          <t>yes: Scare</t>
        </is>
      </c>
      <c r="M197" s="44" t="inlineStr">
        <is>
          <t>Primate (Beast)</t>
        </is>
      </c>
      <c r="N197" s="44" t="inlineStr">
        <is>
          <t>Ape &amp; Monkey</t>
        </is>
      </c>
      <c r="O197" s="44" t="inlineStr">
        <is>
          <t>Ice</t>
        </is>
      </c>
      <c r="P197" s="45" t="inlineStr">
        <is>
          <t>Teaches Scare</t>
        </is>
      </c>
      <c r="Q197" s="44" t="inlineStr">
        <is>
          <t>Map unique</t>
        </is>
      </c>
    </row>
    <row r="198" ht="15" customHeight="1" s="39">
      <c r="A198" s="41" t="inlineStr">
        <is>
          <t>Map 18</t>
        </is>
      </c>
      <c r="B198" s="41" t="n">
        <v>18</v>
      </c>
      <c r="C198" s="41" t="inlineStr">
        <is>
          <t>Meerkat Sentry</t>
        </is>
      </c>
      <c r="D198" s="41" t="inlineStr">
        <is>
          <t>meerkat-sentry</t>
        </is>
      </c>
      <c r="E198" s="41" t="n"/>
      <c r="F198" s="41" t="inlineStr">
        <is>
          <t>Common</t>
        </is>
      </c>
      <c r="G198" s="41" t="n">
        <v>1</v>
      </c>
      <c r="H198" s="41" t="n">
        <v>1</v>
      </c>
      <c r="I198" s="41" t="n">
        <v>2</v>
      </c>
      <c r="J198" s="41" t="n">
        <v>7</v>
      </c>
      <c r="K198" s="42" t="inlineStr">
        <is>
          <t>Sociable 1/1, Dry</t>
        </is>
      </c>
      <c r="L198" s="46" t="inlineStr">
        <is>
          <t>yes: Sociable, Dry</t>
        </is>
      </c>
      <c r="M198" s="41" t="inlineStr">
        <is>
          <t>Herpestid (Beast)</t>
        </is>
      </c>
      <c r="N198" s="41" t="inlineStr">
        <is>
          <t>Meerkat</t>
        </is>
      </c>
      <c r="O198" s="41" t="inlineStr">
        <is>
          <t>Desert</t>
        </is>
      </c>
      <c r="P198" s="42" t="inlineStr">
        <is>
          <t>Teaches Sociable, Dry</t>
        </is>
      </c>
      <c r="Q198" s="41" t="inlineStr">
        <is>
          <t>Map unique</t>
        </is>
      </c>
    </row>
    <row r="199" ht="15" customHeight="1" s="39">
      <c r="A199" s="41" t="inlineStr">
        <is>
          <t>Map 18</t>
        </is>
      </c>
      <c r="B199" s="41" t="n">
        <v>18</v>
      </c>
      <c r="C199" s="43" t="inlineStr">
        <is>
          <t>Meerkat Burrower</t>
        </is>
      </c>
      <c r="D199" s="43" t="inlineStr">
        <is>
          <t>meerkat-burrower</t>
        </is>
      </c>
      <c r="E199" s="43" t="inlineStr">
        <is>
          <t>yes</t>
        </is>
      </c>
      <c r="F199" s="41" t="inlineStr">
        <is>
          <t>Common</t>
        </is>
      </c>
      <c r="G199" s="41" t="n">
        <v>1</v>
      </c>
      <c r="H199" s="41" t="n">
        <v>1</v>
      </c>
      <c r="I199" s="41" t="n">
        <v>2</v>
      </c>
      <c r="J199" s="41" t="n">
        <v>8</v>
      </c>
      <c r="K199" s="42" t="inlineStr">
        <is>
          <t>Dry, Darksight</t>
        </is>
      </c>
      <c r="L199" s="46" t="inlineStr">
        <is>
          <t>yes: Dry</t>
        </is>
      </c>
      <c r="M199" s="41" t="inlineStr">
        <is>
          <t>Herpestid (Beast)</t>
        </is>
      </c>
      <c r="N199" s="41" t="inlineStr">
        <is>
          <t>Meerkat</t>
        </is>
      </c>
      <c r="O199" s="41" t="inlineStr">
        <is>
          <t>Desert</t>
        </is>
      </c>
      <c r="P199" s="42" t="inlineStr">
        <is>
          <t>Teaches Dry</t>
        </is>
      </c>
      <c r="Q199" s="41" t="inlineStr">
        <is>
          <t>Map unique</t>
        </is>
      </c>
    </row>
    <row r="200" ht="15" customHeight="1" s="39">
      <c r="A200" s="41" t="inlineStr">
        <is>
          <t>Map 18</t>
        </is>
      </c>
      <c r="B200" s="41" t="n">
        <v>18</v>
      </c>
      <c r="C200" s="41" t="inlineStr">
        <is>
          <t>Dune Jackal</t>
        </is>
      </c>
      <c r="D200" s="41" t="inlineStr">
        <is>
          <t>dune-jackal</t>
        </is>
      </c>
      <c r="E200" s="41" t="n"/>
      <c r="F200" s="41" t="inlineStr">
        <is>
          <t>Common</t>
        </is>
      </c>
      <c r="G200" s="41" t="n">
        <v>1</v>
      </c>
      <c r="H200" s="41" t="n">
        <v>0</v>
      </c>
      <c r="I200" s="41" t="n">
        <v>2</v>
      </c>
      <c r="J200" s="41" t="n">
        <v>10</v>
      </c>
      <c r="K200" s="42" t="inlineStr">
        <is>
          <t>Quick, Dry, Swift</t>
        </is>
      </c>
      <c r="L200" s="46" t="inlineStr">
        <is>
          <t>yes: Dry, Swift</t>
        </is>
      </c>
      <c r="M200" s="41" t="inlineStr">
        <is>
          <t>Canid (Beast)</t>
        </is>
      </c>
      <c r="N200" s="41" t="inlineStr">
        <is>
          <t>Jackal &amp; Hyena</t>
        </is>
      </c>
      <c r="O200" s="41" t="inlineStr">
        <is>
          <t>Desert</t>
        </is>
      </c>
      <c r="P200" s="42" t="inlineStr">
        <is>
          <t>Teaches Dry, Swift</t>
        </is>
      </c>
      <c r="Q200" s="41" t="inlineStr">
        <is>
          <t>Map unique</t>
        </is>
      </c>
    </row>
    <row r="201" ht="15" customHeight="1" s="39">
      <c r="A201" s="41" t="inlineStr">
        <is>
          <t>Map 18</t>
        </is>
      </c>
      <c r="B201" s="41" t="n">
        <v>18</v>
      </c>
      <c r="C201" s="41" t="inlineStr">
        <is>
          <t>Caustic Scorpion</t>
        </is>
      </c>
      <c r="D201" s="41" t="inlineStr">
        <is>
          <t>caustic-scorpion</t>
        </is>
      </c>
      <c r="E201" s="41" t="n"/>
      <c r="F201" s="41" t="inlineStr">
        <is>
          <t>Uncommon</t>
        </is>
      </c>
      <c r="G201" s="41" t="n">
        <v>1</v>
      </c>
      <c r="H201" s="41" t="n">
        <v>2</v>
      </c>
      <c r="I201" s="41" t="n">
        <v>5</v>
      </c>
      <c r="J201" s="41" t="n">
        <v>13</v>
      </c>
      <c r="K201" s="42" t="inlineStr">
        <is>
          <t>Poison 2, Bounty 1, Dry, Thorns 1</t>
        </is>
      </c>
      <c r="L201" s="46" t="inlineStr">
        <is>
          <t>yes: Dry</t>
        </is>
      </c>
      <c r="M201" s="41" t="inlineStr">
        <is>
          <t>Arachnid (Arthropod)</t>
        </is>
      </c>
      <c r="N201" s="41" t="inlineStr">
        <is>
          <t>Spider &amp; Scorpion</t>
        </is>
      </c>
      <c r="O201" s="41" t="inlineStr">
        <is>
          <t>Desert</t>
        </is>
      </c>
      <c r="P201" s="42" t="inlineStr">
        <is>
          <t>Teaches Dry</t>
        </is>
      </c>
      <c r="Q201" s="41" t="inlineStr">
        <is>
          <t>Map unique</t>
        </is>
      </c>
    </row>
    <row r="202" ht="15" customHeight="1" s="39">
      <c r="A202" s="44" t="inlineStr">
        <is>
          <t>Map 19</t>
        </is>
      </c>
      <c r="B202" s="44" t="n">
        <v>19</v>
      </c>
      <c r="C202" s="44" t="inlineStr">
        <is>
          <t>Komodo Warlord</t>
        </is>
      </c>
      <c r="D202" s="44" t="inlineStr">
        <is>
          <t>komodo-warlord</t>
        </is>
      </c>
      <c r="E202" s="44" t="n"/>
      <c r="F202" s="44" t="inlineStr">
        <is>
          <t>Common</t>
        </is>
      </c>
      <c r="G202" s="44" t="n">
        <v>3</v>
      </c>
      <c r="H202" s="44" t="n">
        <v>4</v>
      </c>
      <c r="I202" s="44" t="n">
        <v>9</v>
      </c>
      <c r="J202" s="44" t="n">
        <v>38</v>
      </c>
      <c r="K202" s="45" t="inlineStr">
        <is>
          <t>Poison 3, Bounty 1, Gash 3</t>
        </is>
      </c>
      <c r="L202" s="47" t="inlineStr">
        <is>
          <t>yes: Gash</t>
        </is>
      </c>
      <c r="M202" s="44" t="inlineStr">
        <is>
          <t>Reptile (Scaled)</t>
        </is>
      </c>
      <c r="N202" s="44" t="inlineStr">
        <is>
          <t>Lizard</t>
        </is>
      </c>
      <c r="O202" s="44" t="inlineStr">
        <is>
          <t>Volcano (scorched heights)</t>
        </is>
      </c>
      <c r="P202" s="45" t="inlineStr">
        <is>
          <t>Teaches Gash</t>
        </is>
      </c>
      <c r="Q202" s="44" t="inlineStr">
        <is>
          <t>Map unique</t>
        </is>
      </c>
    </row>
    <row r="203" ht="15" customHeight="1" s="39">
      <c r="A203" s="44" t="inlineStr">
        <is>
          <t>Map 19</t>
        </is>
      </c>
      <c r="B203" s="44" t="n">
        <v>19</v>
      </c>
      <c r="C203" s="44" t="inlineStr">
        <is>
          <t>Scree Goat</t>
        </is>
      </c>
      <c r="D203" s="44" t="inlineStr">
        <is>
          <t>scree-goat</t>
        </is>
      </c>
      <c r="E203" s="44" t="n"/>
      <c r="F203" s="44" t="inlineStr">
        <is>
          <t>Uncommon</t>
        </is>
      </c>
      <c r="G203" s="44" t="n">
        <v>2</v>
      </c>
      <c r="H203" s="44" t="n">
        <v>2</v>
      </c>
      <c r="I203" s="44" t="n">
        <v>5</v>
      </c>
      <c r="J203" s="44" t="n">
        <v>14</v>
      </c>
      <c r="K203" s="45" t="inlineStr">
        <is>
          <t>Landslide 2</t>
        </is>
      </c>
      <c r="L203" s="47" t="inlineStr">
        <is>
          <t>yes: Landslide</t>
        </is>
      </c>
      <c r="M203" s="44" t="inlineStr">
        <is>
          <t>Bovine (Beast)</t>
        </is>
      </c>
      <c r="N203" s="44" t="inlineStr">
        <is>
          <t>Goat &amp; Ox</t>
        </is>
      </c>
      <c r="O203" s="44" t="inlineStr">
        <is>
          <t>Volcano (scorched heights)</t>
        </is>
      </c>
      <c r="P203" s="45" t="inlineStr">
        <is>
          <t>Teaches Landslide</t>
        </is>
      </c>
      <c r="Q203" s="44" t="inlineStr">
        <is>
          <t>Map unique</t>
        </is>
      </c>
    </row>
    <row r="204" ht="15" customHeight="1" s="39">
      <c r="A204" s="44" t="inlineStr">
        <is>
          <t>Map 19</t>
        </is>
      </c>
      <c r="B204" s="44" t="n">
        <v>19</v>
      </c>
      <c r="C204" s="44" t="inlineStr">
        <is>
          <t>Magma Salamander</t>
        </is>
      </c>
      <c r="D204" s="44" t="inlineStr">
        <is>
          <t>magma-salamander</t>
        </is>
      </c>
      <c r="E204" s="44" t="n"/>
      <c r="F204" s="44" t="inlineStr">
        <is>
          <t>Rare</t>
        </is>
      </c>
      <c r="G204" s="44" t="n">
        <v>1</v>
      </c>
      <c r="H204" s="44" t="n">
        <v>1</v>
      </c>
      <c r="I204" s="44" t="n">
        <v>4</v>
      </c>
      <c r="J204" s="44" t="n">
        <v>10</v>
      </c>
      <c r="K204" s="45" t="inlineStr">
        <is>
          <t>Fire Arrow 1</t>
        </is>
      </c>
      <c r="L204" s="47" t="inlineStr">
        <is>
          <t>yes: Fire Arrow</t>
        </is>
      </c>
      <c r="M204" s="44" t="inlineStr">
        <is>
          <t>Amphibian &amp; Elemental (Elemental &amp; Scaled)</t>
        </is>
      </c>
      <c r="N204" s="44" t="inlineStr">
        <is>
          <t>Newt &amp; Salamander</t>
        </is>
      </c>
      <c r="O204" s="44" t="inlineStr">
        <is>
          <t>Volcano (scorched heights)</t>
        </is>
      </c>
      <c r="P204" s="45" t="inlineStr">
        <is>
          <t>Teaches Fire Arrow</t>
        </is>
      </c>
      <c r="Q204" s="44" t="inlineStr">
        <is>
          <t>Map unique</t>
        </is>
      </c>
    </row>
    <row r="205" ht="15" customHeight="1" s="39">
      <c r="A205" s="44" t="inlineStr">
        <is>
          <t>Map 19</t>
        </is>
      </c>
      <c r="B205" s="44" t="n">
        <v>19</v>
      </c>
      <c r="C205" s="44" t="inlineStr">
        <is>
          <t>Cinder Stoker</t>
        </is>
      </c>
      <c r="D205" s="44" t="inlineStr">
        <is>
          <t>cinder-stoker</t>
        </is>
      </c>
      <c r="E205" s="44" t="n"/>
      <c r="F205" s="44" t="inlineStr">
        <is>
          <t>Common</t>
        </is>
      </c>
      <c r="G205" s="44" t="n">
        <v>0</v>
      </c>
      <c r="H205" s="44" t="n">
        <v>0</v>
      </c>
      <c r="I205" s="44" t="n">
        <v>1</v>
      </c>
      <c r="J205" s="44" t="n">
        <v>7</v>
      </c>
      <c r="K205" s="45" t="inlineStr">
        <is>
          <t>Worthy 1</t>
        </is>
      </c>
      <c r="L205" s="44" t="n"/>
      <c r="M205" s="44" t="inlineStr">
        <is>
          <t>Amphibian (Scaled)</t>
        </is>
      </c>
      <c r="N205" s="44" t="inlineStr">
        <is>
          <t>Newt &amp; Salamander</t>
        </is>
      </c>
      <c r="O205" s="44" t="inlineStr">
        <is>
          <t>Volcano (scorched heights)</t>
        </is>
      </c>
      <c r="P205" s="45" t="inlineStr">
        <is>
          <t>Fits the map: volcano (scorched heights)</t>
        </is>
      </c>
      <c r="Q205" s="44" t="inlineStr">
        <is>
          <t>Map unique</t>
        </is>
      </c>
    </row>
    <row r="206" ht="15" customHeight="1" s="39">
      <c r="A206" s="41" t="inlineStr">
        <is>
          <t>Map 20</t>
        </is>
      </c>
      <c r="B206" s="41" t="n">
        <v>20</v>
      </c>
      <c r="C206" s="41" t="inlineStr">
        <is>
          <t>Ash Cloud Condor</t>
        </is>
      </c>
      <c r="D206" s="41" t="inlineStr">
        <is>
          <t>ash-cloud-condor</t>
        </is>
      </c>
      <c r="E206" s="41" t="n"/>
      <c r="F206" s="41" t="inlineStr">
        <is>
          <t>Rare</t>
        </is>
      </c>
      <c r="G206" s="41" t="n">
        <v>1</v>
      </c>
      <c r="H206" s="41" t="n">
        <v>1</v>
      </c>
      <c r="I206" s="41" t="n">
        <v>3</v>
      </c>
      <c r="J206" s="41" t="n">
        <v>7</v>
      </c>
      <c r="K206" s="42" t="inlineStr">
        <is>
          <t>Stun, Flying</t>
        </is>
      </c>
      <c r="L206" s="46" t="inlineStr">
        <is>
          <t>yes: Stun</t>
        </is>
      </c>
      <c r="M206" s="41" t="inlineStr">
        <is>
          <t>Bird</t>
        </is>
      </c>
      <c r="N206" s="41" t="inlineStr">
        <is>
          <t>Eagle &amp; Hawk</t>
        </is>
      </c>
      <c r="O206" s="41" t="inlineStr">
        <is>
          <t>Volcano (the peak)</t>
        </is>
      </c>
      <c r="P206" s="42" t="inlineStr">
        <is>
          <t>Teaches Stun</t>
        </is>
      </c>
      <c r="Q206" s="41" t="inlineStr">
        <is>
          <t>Map unique</t>
        </is>
      </c>
    </row>
    <row r="207" ht="15" customHeight="1" s="39">
      <c r="A207" s="41" t="inlineStr">
        <is>
          <t>Map 20</t>
        </is>
      </c>
      <c r="B207" s="41" t="n">
        <v>20</v>
      </c>
      <c r="C207" s="41" t="inlineStr">
        <is>
          <t>Bonebreaker</t>
        </is>
      </c>
      <c r="D207" s="41" t="inlineStr">
        <is>
          <t>bramblewood-bonebreaker</t>
        </is>
      </c>
      <c r="E207" s="41" t="n"/>
      <c r="F207" s="41" t="inlineStr">
        <is>
          <t>Common</t>
        </is>
      </c>
      <c r="G207" s="41" t="n">
        <v>2</v>
      </c>
      <c r="H207" s="41" t="n">
        <v>2</v>
      </c>
      <c r="I207" s="41" t="n">
        <v>6</v>
      </c>
      <c r="J207" s="41" t="n">
        <v>12</v>
      </c>
      <c r="K207" s="42" t="inlineStr">
        <is>
          <t>Stagger (60%)</t>
        </is>
      </c>
      <c r="L207" s="46" t="inlineStr">
        <is>
          <t>yes: Stagger</t>
        </is>
      </c>
      <c r="M207" s="41" t="inlineStr">
        <is>
          <t>Ursid (Beast)</t>
        </is>
      </c>
      <c r="N207" s="41" t="inlineStr">
        <is>
          <t>Bear</t>
        </is>
      </c>
      <c r="O207" s="41" t="inlineStr">
        <is>
          <t>Volcano (the peak)</t>
        </is>
      </c>
      <c r="P207" s="42" t="inlineStr">
        <is>
          <t>Teaches Stagger</t>
        </is>
      </c>
      <c r="Q207" s="41" t="inlineStr">
        <is>
          <t>Map unique</t>
        </is>
      </c>
    </row>
    <row r="208" ht="15" customHeight="1" s="39">
      <c r="A208" s="41" t="inlineStr">
        <is>
          <t>Map 20</t>
        </is>
      </c>
      <c r="B208" s="41" t="n">
        <v>20</v>
      </c>
      <c r="C208" s="41" t="inlineStr">
        <is>
          <t>Ember Wisp</t>
        </is>
      </c>
      <c r="D208" s="41" t="inlineStr">
        <is>
          <t>ember-wisp</t>
        </is>
      </c>
      <c r="E208" s="41" t="n"/>
      <c r="F208" s="41" t="inlineStr">
        <is>
          <t>Rare</t>
        </is>
      </c>
      <c r="G208" s="41" t="n">
        <v>0</v>
      </c>
      <c r="H208" s="41" t="n">
        <v>0</v>
      </c>
      <c r="I208" s="41" t="n">
        <v>3</v>
      </c>
      <c r="J208" s="41" t="n">
        <v>3</v>
      </c>
      <c r="K208" s="42" t="inlineStr">
        <is>
          <t>Immolation 1</t>
        </is>
      </c>
      <c r="L208" s="46" t="inlineStr">
        <is>
          <t>yes: Immolation</t>
        </is>
      </c>
      <c r="M208" s="41" t="inlineStr">
        <is>
          <t>Elemental</t>
        </is>
      </c>
      <c r="N208" s="41" t="inlineStr">
        <is>
          <t>Elemental</t>
        </is>
      </c>
      <c r="O208" s="41" t="inlineStr">
        <is>
          <t>Volcano (the peak)</t>
        </is>
      </c>
      <c r="P208" s="42" t="inlineStr">
        <is>
          <t>Teaches Immolation</t>
        </is>
      </c>
      <c r="Q208" s="41" t="inlineStr">
        <is>
          <t>Map unique</t>
        </is>
      </c>
    </row>
    <row r="209" ht="15" customHeight="1" s="39">
      <c r="A209" s="41" t="inlineStr">
        <is>
          <t>Map 20</t>
        </is>
      </c>
      <c r="B209" s="41" t="n">
        <v>20</v>
      </c>
      <c r="C209" s="41" t="inlineStr">
        <is>
          <t>Cinder Hornet</t>
        </is>
      </c>
      <c r="D209" s="41" t="inlineStr">
        <is>
          <t>cinder-hornet</t>
        </is>
      </c>
      <c r="E209" s="41" t="n"/>
      <c r="F209" s="41" t="inlineStr">
        <is>
          <t>Common</t>
        </is>
      </c>
      <c r="G209" s="41" t="n">
        <v>2</v>
      </c>
      <c r="H209" s="41" t="n">
        <v>0</v>
      </c>
      <c r="I209" s="41" t="n">
        <v>4</v>
      </c>
      <c r="J209" s="41" t="n">
        <v>6</v>
      </c>
      <c r="K209" s="42" t="inlineStr">
        <is>
          <t>Stun 30, Flying</t>
        </is>
      </c>
      <c r="L209" s="46" t="inlineStr">
        <is>
          <t>yes: Stun</t>
        </is>
      </c>
      <c r="M209" s="41" t="inlineStr">
        <is>
          <t>Insect (Arthropod)</t>
        </is>
      </c>
      <c r="N209" s="41" t="inlineStr">
        <is>
          <t>Bee &amp; Wasp</t>
        </is>
      </c>
      <c r="O209" s="41" t="inlineStr">
        <is>
          <t>Volcano (the peak)</t>
        </is>
      </c>
      <c r="P209" s="42" t="inlineStr">
        <is>
          <t>Teaches Stun</t>
        </is>
      </c>
      <c r="Q209" s="41" t="inlineStr">
        <is>
          <t>Map unique</t>
        </is>
      </c>
    </row>
    <row r="210" ht="15" customHeight="1" s="39">
      <c r="A210" s="44" t="inlineStr">
        <is>
          <t>Map 21</t>
        </is>
      </c>
      <c r="B210" s="44" t="n">
        <v>21</v>
      </c>
      <c r="C210" s="44" t="inlineStr">
        <is>
          <t>Snow Owl Sentinel</t>
        </is>
      </c>
      <c r="D210" s="44" t="inlineStr">
        <is>
          <t>snow-owl-sentinel</t>
        </is>
      </c>
      <c r="E210" s="44" t="n"/>
      <c r="F210" s="44" t="inlineStr">
        <is>
          <t>Rare</t>
        </is>
      </c>
      <c r="G210" s="44" t="n">
        <v>1</v>
      </c>
      <c r="H210" s="44" t="n">
        <v>1</v>
      </c>
      <c r="I210" s="44" t="n">
        <v>3</v>
      </c>
      <c r="J210" s="44" t="n">
        <v>10</v>
      </c>
      <c r="K210" s="45" t="inlineStr">
        <is>
          <t>Expose 2, Flying, Nocturnal</t>
        </is>
      </c>
      <c r="L210" s="47" t="inlineStr">
        <is>
          <t>yes: Expose</t>
        </is>
      </c>
      <c r="M210" s="44" t="inlineStr">
        <is>
          <t>Bird</t>
        </is>
      </c>
      <c r="N210" s="44" t="inlineStr">
        <is>
          <t>Owl</t>
        </is>
      </c>
      <c r="O210" s="44" t="inlineStr">
        <is>
          <t>Mountain summit</t>
        </is>
      </c>
      <c r="P210" s="45" t="inlineStr">
        <is>
          <t>Teaches Expose</t>
        </is>
      </c>
      <c r="Q210" s="44" t="inlineStr">
        <is>
          <t>Map unique</t>
        </is>
      </c>
    </row>
    <row r="211" ht="15" customHeight="1" s="39">
      <c r="A211" s="44" t="inlineStr">
        <is>
          <t>Map 21</t>
        </is>
      </c>
      <c r="B211" s="44" t="n">
        <v>21</v>
      </c>
      <c r="C211" s="44" t="inlineStr">
        <is>
          <t>Newt Doctor</t>
        </is>
      </c>
      <c r="D211" s="44" t="inlineStr">
        <is>
          <t>newt-doctor</t>
        </is>
      </c>
      <c r="E211" s="44" t="n"/>
      <c r="F211" s="44" t="inlineStr">
        <is>
          <t>Uncommon</t>
        </is>
      </c>
      <c r="G211" s="44" t="n">
        <v>0</v>
      </c>
      <c r="H211" s="44" t="n">
        <v>1</v>
      </c>
      <c r="I211" s="44" t="n">
        <v>1</v>
      </c>
      <c r="J211" s="44" t="n">
        <v>6</v>
      </c>
      <c r="K211" s="45" t="inlineStr">
        <is>
          <t>Healing 1</t>
        </is>
      </c>
      <c r="L211" s="47" t="inlineStr">
        <is>
          <t>yes: Healing</t>
        </is>
      </c>
      <c r="M211" s="44" t="inlineStr">
        <is>
          <t>Amphibian (Scaled)</t>
        </is>
      </c>
      <c r="N211" s="44" t="inlineStr">
        <is>
          <t>Newt &amp; Salamander</t>
        </is>
      </c>
      <c r="O211" s="44" t="inlineStr">
        <is>
          <t>Mountain summit</t>
        </is>
      </c>
      <c r="P211" s="45" t="inlineStr">
        <is>
          <t>Teaches Healing</t>
        </is>
      </c>
      <c r="Q211" s="44" t="inlineStr">
        <is>
          <t>Map unique</t>
        </is>
      </c>
    </row>
    <row r="212" ht="15" customHeight="1" s="39">
      <c r="A212" s="44" t="inlineStr">
        <is>
          <t>Map 21</t>
        </is>
      </c>
      <c r="B212" s="44" t="n">
        <v>21</v>
      </c>
      <c r="C212" s="44" t="inlineStr">
        <is>
          <t>Elder Tortoise</t>
        </is>
      </c>
      <c r="D212" s="44" t="inlineStr">
        <is>
          <t>elder-tortoise</t>
        </is>
      </c>
      <c r="E212" s="44" t="n"/>
      <c r="F212" s="44" t="inlineStr">
        <is>
          <t>Common</t>
        </is>
      </c>
      <c r="G212" s="44" t="n">
        <v>3</v>
      </c>
      <c r="H212" s="44" t="n">
        <v>1</v>
      </c>
      <c r="I212" s="44" t="n">
        <v>1</v>
      </c>
      <c r="J212" s="44" t="n">
        <v>18</v>
      </c>
      <c r="K212" s="45" t="inlineStr">
        <is>
          <t>Regeneration 3, Stall 2, Swimmer</t>
        </is>
      </c>
      <c r="L212" s="44" t="n"/>
      <c r="M212" s="44" t="inlineStr">
        <is>
          <t>Reptile (Scaled)</t>
        </is>
      </c>
      <c r="N212" s="44" t="inlineStr">
        <is>
          <t>Turtle</t>
        </is>
      </c>
      <c r="O212" s="44" t="inlineStr">
        <is>
          <t>Mountain summit</t>
        </is>
      </c>
      <c r="P212" s="45" t="inlineStr">
        <is>
          <t>Fits the map: mountain summit</t>
        </is>
      </c>
      <c r="Q212" s="44" t="inlineStr">
        <is>
          <t>Map unique</t>
        </is>
      </c>
    </row>
    <row r="213" ht="15" customHeight="1" s="39">
      <c r="A213" s="44" t="inlineStr">
        <is>
          <t>Map 21</t>
        </is>
      </c>
      <c r="B213" s="44" t="n">
        <v>21</v>
      </c>
      <c r="C213" s="44" t="inlineStr">
        <is>
          <t>Heartwood Treant</t>
        </is>
      </c>
      <c r="D213" s="44" t="inlineStr">
        <is>
          <t>heartwood-treant</t>
        </is>
      </c>
      <c r="E213" s="44" t="n"/>
      <c r="F213" s="44" t="inlineStr">
        <is>
          <t>Rare</t>
        </is>
      </c>
      <c r="G213" s="44" t="n">
        <v>2</v>
      </c>
      <c r="H213" s="44" t="n">
        <v>2</v>
      </c>
      <c r="I213" s="44" t="n">
        <v>2</v>
      </c>
      <c r="J213" s="44" t="n">
        <v>14</v>
      </c>
      <c r="K213" s="45" t="inlineStr">
        <is>
          <t>Timber</t>
        </is>
      </c>
      <c r="L213" s="47" t="inlineStr">
        <is>
          <t>yes: Timber</t>
        </is>
      </c>
      <c r="M213" s="44" t="inlineStr">
        <is>
          <t>Plant</t>
        </is>
      </c>
      <c r="N213" s="44" t="inlineStr">
        <is>
          <t>Tree &amp; Plant</t>
        </is>
      </c>
      <c r="O213" s="44" t="inlineStr">
        <is>
          <t>Mountain summit</t>
        </is>
      </c>
      <c r="P213" s="45" t="inlineStr">
        <is>
          <t>Teaches Timber</t>
        </is>
      </c>
      <c r="Q213" s="44" t="inlineStr">
        <is>
          <t>Map unique</t>
        </is>
      </c>
    </row>
    <row r="214" ht="15" customHeight="1" s="39">
      <c r="A214" s="41" t="inlineStr">
        <is>
          <t>Biome fodder · Ocean</t>
        </is>
      </c>
      <c r="B214" s="41" t="inlineStr">
        <is>
          <t>4, 9, 10</t>
        </is>
      </c>
      <c r="C214" s="41" t="inlineStr">
        <is>
          <t>Coral Polyp Colony</t>
        </is>
      </c>
      <c r="D214" s="41" t="inlineStr">
        <is>
          <t>coral-polyp-colony</t>
        </is>
      </c>
      <c r="E214" s="41" t="n"/>
      <c r="F214" s="41" t="inlineStr">
        <is>
          <t>Common</t>
        </is>
      </c>
      <c r="G214" s="41" t="n">
        <v>0</v>
      </c>
      <c r="H214" s="41" t="n">
        <v>1</v>
      </c>
      <c r="I214" s="41" t="n">
        <v>0</v>
      </c>
      <c r="J214" s="41" t="n">
        <v>14</v>
      </c>
      <c r="K214" s="42" t="inlineStr">
        <is>
          <t>Lumber when Ready 1, Tide</t>
        </is>
      </c>
      <c r="L214" s="41" t="n"/>
      <c r="M214" s="41" t="inlineStr">
        <is>
          <t>Cnidarian (Aquatic)</t>
        </is>
      </c>
      <c r="N214" s="41" t="inlineStr">
        <is>
          <t>Coral &amp; Jelly</t>
        </is>
      </c>
      <c r="O214" s="41" t="inlineStr">
        <is>
          <t>Ocean</t>
        </is>
      </c>
      <c r="P214" s="42" t="inlineStr">
        <is>
          <t>Ocean enemy for Maps 4, 9, 10</t>
        </is>
      </c>
      <c r="Q214" s="41" t="inlineStr">
        <is>
          <t>Biome fodder</t>
        </is>
      </c>
    </row>
    <row r="215" ht="15" customHeight="1" s="39">
      <c r="A215" s="41" t="inlineStr">
        <is>
          <t>Biome fodder · Ocean</t>
        </is>
      </c>
      <c r="B215" s="41" t="inlineStr">
        <is>
          <t>4, 9, 10</t>
        </is>
      </c>
      <c r="C215" s="43" t="inlineStr">
        <is>
          <t>Moon Jelly</t>
        </is>
      </c>
      <c r="D215" s="43" t="inlineStr">
        <is>
          <t>moon-jelly</t>
        </is>
      </c>
      <c r="E215" s="43" t="inlineStr">
        <is>
          <t>yes</t>
        </is>
      </c>
      <c r="F215" s="41" t="inlineStr">
        <is>
          <t>Common</t>
        </is>
      </c>
      <c r="G215" s="41" t="n">
        <v>0</v>
      </c>
      <c r="H215" s="41" t="n">
        <v>1</v>
      </c>
      <c r="I215" s="41" t="n">
        <v>1</v>
      </c>
      <c r="J215" s="41" t="n">
        <v>7</v>
      </c>
      <c r="K215" s="42" t="inlineStr">
        <is>
          <t>Tide, Poison 1</t>
        </is>
      </c>
      <c r="L215" s="41" t="n"/>
      <c r="M215" s="41" t="inlineStr">
        <is>
          <t>Cnidarian (Aquatic)</t>
        </is>
      </c>
      <c r="N215" s="41" t="inlineStr">
        <is>
          <t>Coral &amp; Jelly</t>
        </is>
      </c>
      <c r="O215" s="41" t="inlineStr">
        <is>
          <t>Ocean</t>
        </is>
      </c>
      <c r="P215" s="42" t="inlineStr">
        <is>
          <t>Ocean enemy for Maps 4, 9, 10</t>
        </is>
      </c>
      <c r="Q215" s="41" t="inlineStr">
        <is>
          <t>Biome fodder</t>
        </is>
      </c>
    </row>
    <row r="216" ht="15" customHeight="1" s="39">
      <c r="A216" s="41" t="inlineStr">
        <is>
          <t>Biome fodder · Ocean</t>
        </is>
      </c>
      <c r="B216" s="41" t="inlineStr">
        <is>
          <t>4, 9, 10</t>
        </is>
      </c>
      <c r="C216" s="43" t="inlineStr">
        <is>
          <t>Lion's Mane Jelly</t>
        </is>
      </c>
      <c r="D216" s="43" t="inlineStr">
        <is>
          <t>lions-mane-jelly</t>
        </is>
      </c>
      <c r="E216" s="43" t="inlineStr">
        <is>
          <t>yes</t>
        </is>
      </c>
      <c r="F216" s="41" t="inlineStr">
        <is>
          <t>Uncommon</t>
        </is>
      </c>
      <c r="G216" s="41" t="n">
        <v>1</v>
      </c>
      <c r="H216" s="41" t="n">
        <v>2</v>
      </c>
      <c r="I216" s="41" t="n">
        <v>3</v>
      </c>
      <c r="J216" s="41" t="n">
        <v>13</v>
      </c>
      <c r="K216" s="42" t="inlineStr">
        <is>
          <t>Tide, Poison 2</t>
        </is>
      </c>
      <c r="L216" s="41" t="n"/>
      <c r="M216" s="41" t="inlineStr">
        <is>
          <t>Cnidarian (Aquatic)</t>
        </is>
      </c>
      <c r="N216" s="41" t="inlineStr">
        <is>
          <t>Coral &amp; Jelly</t>
        </is>
      </c>
      <c r="O216" s="41" t="inlineStr">
        <is>
          <t>Ocean</t>
        </is>
      </c>
      <c r="P216" s="42" t="inlineStr">
        <is>
          <t>Ocean enemy for Maps 4, 9, 10</t>
        </is>
      </c>
      <c r="Q216" s="41" t="inlineStr">
        <is>
          <t>Biome fodder</t>
        </is>
      </c>
    </row>
    <row r="217" ht="15" customHeight="1" s="39">
      <c r="A217" s="41" t="inlineStr">
        <is>
          <t>Biome fodder · Ocean</t>
        </is>
      </c>
      <c r="B217" s="41" t="inlineStr">
        <is>
          <t>4, 9, 10</t>
        </is>
      </c>
      <c r="C217" s="41" t="inlineStr">
        <is>
          <t>Octopus Tactician</t>
        </is>
      </c>
      <c r="D217" s="41" t="inlineStr">
        <is>
          <t>octopus-tactician</t>
        </is>
      </c>
      <c r="E217" s="41" t="n"/>
      <c r="F217" s="41" t="inlineStr">
        <is>
          <t>Rare</t>
        </is>
      </c>
      <c r="G217" s="41" t="n">
        <v>2</v>
      </c>
      <c r="H217" s="41" t="n">
        <v>2</v>
      </c>
      <c r="I217" s="41" t="n">
        <v>6</v>
      </c>
      <c r="J217" s="41" t="n">
        <v>22</v>
      </c>
      <c r="K217" s="42" t="inlineStr">
        <is>
          <t>Cleave 1, Bounty 1, Tide, Wash</t>
        </is>
      </c>
      <c r="L217" s="41" t="n"/>
      <c r="M217" s="41" t="inlineStr">
        <is>
          <t>Mollusc (Aquatic)</t>
        </is>
      </c>
      <c r="N217" s="41" t="inlineStr">
        <is>
          <t>Octopus &amp; Squid</t>
        </is>
      </c>
      <c r="O217" s="41" t="inlineStr">
        <is>
          <t>Ocean</t>
        </is>
      </c>
      <c r="P217" s="42" t="inlineStr">
        <is>
          <t>Ocean enemy for Maps 4, 9, 10</t>
        </is>
      </c>
      <c r="Q217" s="41" t="inlineStr">
        <is>
          <t>Biome fodder</t>
        </is>
      </c>
    </row>
    <row r="218" ht="15" customHeight="1" s="39">
      <c r="A218" s="41" t="inlineStr">
        <is>
          <t>Biome fodder · Ocean</t>
        </is>
      </c>
      <c r="B218" s="41" t="inlineStr">
        <is>
          <t>4, 9, 10</t>
        </is>
      </c>
      <c r="C218" s="41" t="inlineStr">
        <is>
          <t>Reef Shark</t>
        </is>
      </c>
      <c r="D218" s="41" t="inlineStr">
        <is>
          <t>reef-shark</t>
        </is>
      </c>
      <c r="E218" s="41" t="n"/>
      <c r="F218" s="41" t="inlineStr">
        <is>
          <t>Common</t>
        </is>
      </c>
      <c r="G218" s="41" t="n">
        <v>2</v>
      </c>
      <c r="H218" s="41" t="n">
        <v>3</v>
      </c>
      <c r="I218" s="41" t="n">
        <v>8</v>
      </c>
      <c r="J218" s="41" t="n">
        <v>22</v>
      </c>
      <c r="K218" s="42" t="inlineStr">
        <is>
          <t>Cleave 1, Bounty 1, Tide, Swimmer</t>
        </is>
      </c>
      <c r="L218" s="41" t="n"/>
      <c r="M218" s="41" t="inlineStr">
        <is>
          <t>Fish (Aquatic)</t>
        </is>
      </c>
      <c r="N218" s="41" t="inlineStr">
        <is>
          <t>Shark &amp; Ray</t>
        </is>
      </c>
      <c r="O218" s="41" t="inlineStr">
        <is>
          <t>Ocean</t>
        </is>
      </c>
      <c r="P218" s="42" t="inlineStr">
        <is>
          <t>Ocean enemy for Maps 4, 9, 10</t>
        </is>
      </c>
      <c r="Q218" s="41" t="inlineStr">
        <is>
          <t>Biome fodder</t>
        </is>
      </c>
    </row>
    <row r="219" ht="15" customHeight="1" s="39">
      <c r="A219" s="41" t="inlineStr">
        <is>
          <t>Biome fodder · Ocean</t>
        </is>
      </c>
      <c r="B219" s="41" t="inlineStr">
        <is>
          <t>4, 9, 10</t>
        </is>
      </c>
      <c r="C219" s="41" t="inlineStr">
        <is>
          <t>Shoal Shark</t>
        </is>
      </c>
      <c r="D219" s="41" t="inlineStr">
        <is>
          <t>shoal-shark</t>
        </is>
      </c>
      <c r="E219" s="41" t="n"/>
      <c r="F219" s="41" t="inlineStr">
        <is>
          <t>Uncommon</t>
        </is>
      </c>
      <c r="G219" s="41" t="n">
        <v>2</v>
      </c>
      <c r="H219" s="41" t="n">
        <v>2</v>
      </c>
      <c r="I219" s="41" t="n">
        <v>6</v>
      </c>
      <c r="J219" s="41" t="n">
        <v>16</v>
      </c>
      <c r="K219" s="42" t="inlineStr">
        <is>
          <t>Tide, Swimmer</t>
        </is>
      </c>
      <c r="L219" s="41" t="n"/>
      <c r="M219" s="41" t="inlineStr">
        <is>
          <t>Fish (Aquatic)</t>
        </is>
      </c>
      <c r="N219" s="41" t="inlineStr">
        <is>
          <t>Shark &amp; Ray</t>
        </is>
      </c>
      <c r="O219" s="41" t="inlineStr">
        <is>
          <t>Ocean</t>
        </is>
      </c>
      <c r="P219" s="42" t="inlineStr">
        <is>
          <t>Ocean enemy for Maps 4, 9, 10</t>
        </is>
      </c>
      <c r="Q219" s="41" t="inlineStr">
        <is>
          <t>Biome fodder</t>
        </is>
      </c>
    </row>
    <row r="220" ht="15" customHeight="1" s="39">
      <c r="A220" s="41" t="inlineStr">
        <is>
          <t>Biome fodder · Ocean</t>
        </is>
      </c>
      <c r="B220" s="41" t="inlineStr">
        <is>
          <t>4, 9, 10</t>
        </is>
      </c>
      <c r="C220" s="41" t="inlineStr">
        <is>
          <t>Conch Crawler</t>
        </is>
      </c>
      <c r="D220" s="41" t="inlineStr">
        <is>
          <t>conch-crawler</t>
        </is>
      </c>
      <c r="E220" s="41" t="n"/>
      <c r="F220" s="41" t="inlineStr">
        <is>
          <t>Common</t>
        </is>
      </c>
      <c r="G220" s="41" t="n">
        <v>0</v>
      </c>
      <c r="H220" s="41" t="n">
        <v>1</v>
      </c>
      <c r="I220" s="41" t="n">
        <v>1</v>
      </c>
      <c r="J220" s="41" t="n">
        <v>10</v>
      </c>
      <c r="K220" s="42" t="inlineStr">
        <is>
          <t>Tide, Shell 2</t>
        </is>
      </c>
      <c r="L220" s="41" t="n"/>
      <c r="M220" s="41" t="inlineStr">
        <is>
          <t>Mollusc (Aquatic)</t>
        </is>
      </c>
      <c r="N220" s="41" t="inlineStr">
        <is>
          <t>Snail &amp; Slug</t>
        </is>
      </c>
      <c r="O220" s="41" t="inlineStr">
        <is>
          <t>Ocean</t>
        </is>
      </c>
      <c r="P220" s="42" t="inlineStr">
        <is>
          <t>Ocean enemy for Maps 4, 9, 10</t>
        </is>
      </c>
      <c r="Q220" s="41" t="inlineStr">
        <is>
          <t>Biome fodder</t>
        </is>
      </c>
    </row>
    <row r="221" ht="15" customHeight="1" s="39">
      <c r="A221" s="41" t="inlineStr">
        <is>
          <t>Biome fodder · Ocean</t>
        </is>
      </c>
      <c r="B221" s="41" t="inlineStr">
        <is>
          <t>4, 9, 10</t>
        </is>
      </c>
      <c r="C221" s="41" t="inlineStr">
        <is>
          <t>Sea Turtle Elder</t>
        </is>
      </c>
      <c r="D221" s="41" t="inlineStr">
        <is>
          <t>sea-turtle-elder</t>
        </is>
      </c>
      <c r="E221" s="41" t="n"/>
      <c r="F221" s="41" t="inlineStr">
        <is>
          <t>Common</t>
        </is>
      </c>
      <c r="G221" s="41" t="n">
        <v>2</v>
      </c>
      <c r="H221" s="41" t="n">
        <v>3</v>
      </c>
      <c r="I221" s="41" t="n">
        <v>2</v>
      </c>
      <c r="J221" s="41" t="n">
        <v>30</v>
      </c>
      <c r="K221" s="42" t="inlineStr">
        <is>
          <t>Armor 4, Revivificated, Tide</t>
        </is>
      </c>
      <c r="L221" s="41" t="n"/>
      <c r="M221" s="41" t="inlineStr">
        <is>
          <t>Reptile (Scaled)</t>
        </is>
      </c>
      <c r="N221" s="41" t="inlineStr">
        <is>
          <t>Turtle</t>
        </is>
      </c>
      <c r="O221" s="41" t="inlineStr">
        <is>
          <t>Ocean</t>
        </is>
      </c>
      <c r="P221" s="42" t="inlineStr">
        <is>
          <t>Ocean enemy for Maps 4, 9, 10</t>
        </is>
      </c>
      <c r="Q221" s="41" t="inlineStr">
        <is>
          <t>Biome fodder</t>
        </is>
      </c>
    </row>
    <row r="222" ht="23.25" customHeight="1" s="39">
      <c r="A222" s="41" t="inlineStr">
        <is>
          <t>Biome fodder · Ocean</t>
        </is>
      </c>
      <c r="B222" s="41" t="inlineStr">
        <is>
          <t>4, 9, 10</t>
        </is>
      </c>
      <c r="C222" s="41" t="inlineStr">
        <is>
          <t>Orca Vanguard</t>
        </is>
      </c>
      <c r="D222" s="41" t="inlineStr">
        <is>
          <t>orca-vanguard</t>
        </is>
      </c>
      <c r="E222" s="41" t="n"/>
      <c r="F222" s="41" t="inlineStr">
        <is>
          <t>Common</t>
        </is>
      </c>
      <c r="G222" s="41" t="n">
        <v>3</v>
      </c>
      <c r="H222" s="41" t="n">
        <v>3</v>
      </c>
      <c r="I222" s="41" t="n">
        <v>9</v>
      </c>
      <c r="J222" s="41" t="n">
        <v>36</v>
      </c>
      <c r="K222" s="42" t="inlineStr">
        <is>
          <t>Cleave 1, Bounty 1, Momentum 2, Swimmer</t>
        </is>
      </c>
      <c r="L222" s="41" t="n"/>
      <c r="M222" s="41" t="inlineStr">
        <is>
          <t>Cetacean (Beast)</t>
        </is>
      </c>
      <c r="N222" s="41" t="inlineStr">
        <is>
          <t>Whale &amp; Seal</t>
        </is>
      </c>
      <c r="O222" s="41" t="inlineStr">
        <is>
          <t>Ocean</t>
        </is>
      </c>
      <c r="P222" s="42" t="inlineStr">
        <is>
          <t>Ocean enemy for Maps 4, 9, 10</t>
        </is>
      </c>
      <c r="Q222" s="41" t="inlineStr">
        <is>
          <t>Biome fodder</t>
        </is>
      </c>
    </row>
    <row r="223" ht="15" customHeight="1" s="39">
      <c r="A223" s="44" t="inlineStr">
        <is>
          <t>Biome fodder · Swamp</t>
        </is>
      </c>
      <c r="B223" s="44" t="inlineStr">
        <is>
          <t>5, 6</t>
        </is>
      </c>
      <c r="C223" s="43" t="inlineStr">
        <is>
          <t>Caiman Hatchling</t>
        </is>
      </c>
      <c r="D223" s="43" t="inlineStr">
        <is>
          <t>caiman-hatchling</t>
        </is>
      </c>
      <c r="E223" s="43" t="inlineStr">
        <is>
          <t>yes</t>
        </is>
      </c>
      <c r="F223" s="44" t="inlineStr">
        <is>
          <t>Common</t>
        </is>
      </c>
      <c r="G223" s="44" t="n">
        <v>0</v>
      </c>
      <c r="H223" s="44" t="n">
        <v>0</v>
      </c>
      <c r="I223" s="44" t="n">
        <v>2</v>
      </c>
      <c r="J223" s="44" t="n">
        <v>5</v>
      </c>
      <c r="K223" s="45" t="inlineStr">
        <is>
          <t>Quick</t>
        </is>
      </c>
      <c r="L223" s="44" t="n"/>
      <c r="M223" s="44" t="inlineStr">
        <is>
          <t>Reptile (Scaled)</t>
        </is>
      </c>
      <c r="N223" s="44" t="inlineStr">
        <is>
          <t>Crocodile</t>
        </is>
      </c>
      <c r="O223" s="44" t="inlineStr">
        <is>
          <t>Swamp</t>
        </is>
      </c>
      <c r="P223" s="45" t="inlineStr">
        <is>
          <t>Swamp enemy for Maps 5, 6</t>
        </is>
      </c>
      <c r="Q223" s="44" t="inlineStr">
        <is>
          <t>Biome fodder</t>
        </is>
      </c>
    </row>
    <row r="224" ht="15" customHeight="1" s="39">
      <c r="A224" s="44" t="inlineStr">
        <is>
          <t>Biome fodder · Swamp</t>
        </is>
      </c>
      <c r="B224" s="44" t="inlineStr">
        <is>
          <t>5, 6</t>
        </is>
      </c>
      <c r="C224" s="44" t="inlineStr">
        <is>
          <t>Swamp Alligator</t>
        </is>
      </c>
      <c r="D224" s="44" t="inlineStr">
        <is>
          <t>swamp-alligator</t>
        </is>
      </c>
      <c r="E224" s="44" t="n"/>
      <c r="F224" s="44" t="inlineStr">
        <is>
          <t>Common</t>
        </is>
      </c>
      <c r="G224" s="44" t="n">
        <v>2</v>
      </c>
      <c r="H224" s="44" t="n">
        <v>2</v>
      </c>
      <c r="I224" s="44" t="n">
        <v>7</v>
      </c>
      <c r="J224" s="44" t="n">
        <v>18</v>
      </c>
      <c r="K224" s="45" t="inlineStr">
        <is>
          <t>Armor 2</t>
        </is>
      </c>
      <c r="L224" s="44" t="n"/>
      <c r="M224" s="44" t="inlineStr">
        <is>
          <t>Reptile (Scaled)</t>
        </is>
      </c>
      <c r="N224" s="44" t="inlineStr">
        <is>
          <t>Crocodile</t>
        </is>
      </c>
      <c r="O224" s="44" t="inlineStr">
        <is>
          <t>Swamp</t>
        </is>
      </c>
      <c r="P224" s="45" t="inlineStr">
        <is>
          <t>Swamp enemy for Maps 5, 6</t>
        </is>
      </c>
      <c r="Q224" s="44" t="inlineStr">
        <is>
          <t>Biome fodder</t>
        </is>
      </c>
    </row>
    <row r="225" ht="15" customHeight="1" s="39">
      <c r="A225" s="44" t="inlineStr">
        <is>
          <t>Biome fodder · Swamp</t>
        </is>
      </c>
      <c r="B225" s="44" t="inlineStr">
        <is>
          <t>5, 6</t>
        </is>
      </c>
      <c r="C225" s="44" t="inlineStr">
        <is>
          <t>Mallard Marauder</t>
        </is>
      </c>
      <c r="D225" s="44" t="inlineStr">
        <is>
          <t>mallard-marauder</t>
        </is>
      </c>
      <c r="E225" s="44" t="n"/>
      <c r="F225" s="44" t="inlineStr">
        <is>
          <t>Rare</t>
        </is>
      </c>
      <c r="G225" s="44" t="n">
        <v>1</v>
      </c>
      <c r="H225" s="44" t="n">
        <v>0</v>
      </c>
      <c r="I225" s="44" t="n">
        <v>4</v>
      </c>
      <c r="J225" s="44" t="n">
        <v>10</v>
      </c>
      <c r="K225" s="45" t="inlineStr">
        <is>
          <t>Flying, Pounce 1</t>
        </is>
      </c>
      <c r="L225" s="44" t="n"/>
      <c r="M225" s="44" t="inlineStr">
        <is>
          <t>Bird</t>
        </is>
      </c>
      <c r="N225" s="44" t="inlineStr">
        <is>
          <t>Duck &amp; Goose</t>
        </is>
      </c>
      <c r="O225" s="44" t="inlineStr">
        <is>
          <t>Swamp</t>
        </is>
      </c>
      <c r="P225" s="45" t="inlineStr">
        <is>
          <t>Swamp enemy for Maps 5, 6</t>
        </is>
      </c>
      <c r="Q225" s="44" t="inlineStr">
        <is>
          <t>Biome fodder</t>
        </is>
      </c>
    </row>
    <row r="226" ht="15" customHeight="1" s="39">
      <c r="A226" s="44" t="inlineStr">
        <is>
          <t>Biome fodder · Swamp</t>
        </is>
      </c>
      <c r="B226" s="44" t="inlineStr">
        <is>
          <t>5, 6</t>
        </is>
      </c>
      <c r="C226" s="44" t="inlineStr">
        <is>
          <t>Bog Behemoth</t>
        </is>
      </c>
      <c r="D226" s="44" t="inlineStr">
        <is>
          <t>bog-behemoth</t>
        </is>
      </c>
      <c r="E226" s="44" t="n"/>
      <c r="F226" s="44" t="inlineStr">
        <is>
          <t>Common</t>
        </is>
      </c>
      <c r="G226" s="44" t="n">
        <v>3</v>
      </c>
      <c r="H226" s="44" t="n">
        <v>4</v>
      </c>
      <c r="I226" s="44" t="n">
        <v>7</v>
      </c>
      <c r="J226" s="44" t="n">
        <v>38</v>
      </c>
      <c r="K226" s="45" t="inlineStr">
        <is>
          <t>Bounty 1, Nocturnal, Regeneration 3</t>
        </is>
      </c>
      <c r="L226" s="44" t="n"/>
      <c r="M226" s="44" t="inlineStr">
        <is>
          <t>Amphibian (Scaled)</t>
        </is>
      </c>
      <c r="N226" s="44" t="inlineStr">
        <is>
          <t>Frog &amp; Toad</t>
        </is>
      </c>
      <c r="O226" s="44" t="inlineStr">
        <is>
          <t>Swamp</t>
        </is>
      </c>
      <c r="P226" s="45" t="inlineStr">
        <is>
          <t>Swamp enemy for Maps 5, 6</t>
        </is>
      </c>
      <c r="Q226" s="44" t="inlineStr">
        <is>
          <t>Biome fodder</t>
        </is>
      </c>
    </row>
    <row r="227" ht="15" customHeight="1" s="39">
      <c r="A227" s="44" t="inlineStr">
        <is>
          <t>Biome fodder · Swamp</t>
        </is>
      </c>
      <c r="B227" s="44" t="inlineStr">
        <is>
          <t>5, 6</t>
        </is>
      </c>
      <c r="C227" s="43" t="inlineStr">
        <is>
          <t>Mudpuppy</t>
        </is>
      </c>
      <c r="D227" s="43" t="inlineStr">
        <is>
          <t>mudpuppy</t>
        </is>
      </c>
      <c r="E227" s="43" t="inlineStr">
        <is>
          <t>yes</t>
        </is>
      </c>
      <c r="F227" s="44" t="inlineStr">
        <is>
          <t>Common</t>
        </is>
      </c>
      <c r="G227" s="44" t="n">
        <v>0</v>
      </c>
      <c r="H227" s="44" t="n">
        <v>1</v>
      </c>
      <c r="I227" s="44" t="n">
        <v>2</v>
      </c>
      <c r="J227" s="44" t="n">
        <v>9</v>
      </c>
      <c r="K227" s="45" t="inlineStr">
        <is>
          <t>Regeneration 1, Swimmer</t>
        </is>
      </c>
      <c r="L227" s="44" t="n"/>
      <c r="M227" s="44" t="inlineStr">
        <is>
          <t>Amphibian (Scaled)</t>
        </is>
      </c>
      <c r="N227" s="44" t="inlineStr">
        <is>
          <t>Newt &amp; Salamander</t>
        </is>
      </c>
      <c r="O227" s="44" t="inlineStr">
        <is>
          <t>Swamp</t>
        </is>
      </c>
      <c r="P227" s="45" t="inlineStr">
        <is>
          <t>Swamp enemy for Maps 5, 6</t>
        </is>
      </c>
      <c r="Q227" s="44" t="inlineStr">
        <is>
          <t>Biome fodder</t>
        </is>
      </c>
    </row>
    <row r="228" ht="15" customHeight="1" s="39">
      <c r="A228" s="44" t="inlineStr">
        <is>
          <t>Biome fodder · Swamp</t>
        </is>
      </c>
      <c r="B228" s="44" t="inlineStr">
        <is>
          <t>5, 6</t>
        </is>
      </c>
      <c r="C228" s="44" t="inlineStr">
        <is>
          <t>Constrictor Coil</t>
        </is>
      </c>
      <c r="D228" s="44" t="inlineStr">
        <is>
          <t>constrictor-coil</t>
        </is>
      </c>
      <c r="E228" s="44" t="n"/>
      <c r="F228" s="44" t="inlineStr">
        <is>
          <t>Common</t>
        </is>
      </c>
      <c r="G228" s="44" t="n">
        <v>2</v>
      </c>
      <c r="H228" s="44" t="n">
        <v>2</v>
      </c>
      <c r="I228" s="44" t="n">
        <v>6</v>
      </c>
      <c r="J228" s="44" t="n">
        <v>24</v>
      </c>
      <c r="K228" s="45" t="inlineStr">
        <is>
          <t>Cleave 1, Bounty 1</t>
        </is>
      </c>
      <c r="L228" s="44" t="n"/>
      <c r="M228" s="44" t="inlineStr">
        <is>
          <t>Reptile (Scaled)</t>
        </is>
      </c>
      <c r="N228" s="44" t="inlineStr">
        <is>
          <t>Snake</t>
        </is>
      </c>
      <c r="O228" s="44" t="inlineStr">
        <is>
          <t>Swamp</t>
        </is>
      </c>
      <c r="P228" s="45" t="inlineStr">
        <is>
          <t>Swamp enemy for Maps 5, 6</t>
        </is>
      </c>
      <c r="Q228" s="44" t="inlineStr">
        <is>
          <t>Biome fodder</t>
        </is>
      </c>
    </row>
    <row r="229" ht="15" customHeight="1" s="39">
      <c r="A229" s="44" t="inlineStr">
        <is>
          <t>Biome fodder · Swamp</t>
        </is>
      </c>
      <c r="B229" s="44" t="inlineStr">
        <is>
          <t>5, 6</t>
        </is>
      </c>
      <c r="C229" s="44" t="inlineStr">
        <is>
          <t>Venomlord Serpent</t>
        </is>
      </c>
      <c r="D229" s="44" t="inlineStr">
        <is>
          <t>venomlord-serpent</t>
        </is>
      </c>
      <c r="E229" s="44" t="n"/>
      <c r="F229" s="44" t="inlineStr">
        <is>
          <t>Common</t>
        </is>
      </c>
      <c r="G229" s="44" t="n">
        <v>3</v>
      </c>
      <c r="H229" s="44" t="n">
        <v>3</v>
      </c>
      <c r="I229" s="44" t="n">
        <v>8</v>
      </c>
      <c r="J229" s="44" t="n">
        <v>34</v>
      </c>
      <c r="K229" s="45" t="inlineStr">
        <is>
          <t>Poison 3, Bounty 1, Ambush</t>
        </is>
      </c>
      <c r="L229" s="44" t="n"/>
      <c r="M229" s="44" t="inlineStr">
        <is>
          <t>Reptile (Scaled)</t>
        </is>
      </c>
      <c r="N229" s="44" t="inlineStr">
        <is>
          <t>Snake</t>
        </is>
      </c>
      <c r="O229" s="44" t="inlineStr">
        <is>
          <t>Swamp</t>
        </is>
      </c>
      <c r="P229" s="45" t="inlineStr">
        <is>
          <t>Swamp enemy for Maps 5, 6</t>
        </is>
      </c>
      <c r="Q229" s="44" t="inlineStr">
        <is>
          <t>Biome fodder</t>
        </is>
      </c>
    </row>
    <row r="230" ht="15" customHeight="1" s="39">
      <c r="A230" s="44" t="inlineStr">
        <is>
          <t>Biome fodder · Swamp</t>
        </is>
      </c>
      <c r="B230" s="44" t="inlineStr">
        <is>
          <t>5, 6</t>
        </is>
      </c>
      <c r="C230" s="44" t="inlineStr">
        <is>
          <t>Adder Ambusher</t>
        </is>
      </c>
      <c r="D230" s="44" t="inlineStr">
        <is>
          <t>adder-ambusher</t>
        </is>
      </c>
      <c r="E230" s="44" t="n"/>
      <c r="F230" s="44" t="inlineStr">
        <is>
          <t>Rare</t>
        </is>
      </c>
      <c r="G230" s="44" t="n">
        <v>1</v>
      </c>
      <c r="H230" s="44" t="n">
        <v>1</v>
      </c>
      <c r="I230" s="44" t="n">
        <v>4</v>
      </c>
      <c r="J230" s="44" t="n">
        <v>10</v>
      </c>
      <c r="K230" s="45" t="inlineStr">
        <is>
          <t>Poison 2, shedding 3</t>
        </is>
      </c>
      <c r="L230" s="44" t="n"/>
      <c r="M230" s="44" t="inlineStr">
        <is>
          <t>Reptile (Scaled)</t>
        </is>
      </c>
      <c r="N230" s="44" t="inlineStr">
        <is>
          <t>Snake</t>
        </is>
      </c>
      <c r="O230" s="44" t="inlineStr">
        <is>
          <t>Swamp</t>
        </is>
      </c>
      <c r="P230" s="45" t="inlineStr">
        <is>
          <t>Swamp enemy for Maps 5, 6</t>
        </is>
      </c>
      <c r="Q230" s="44" t="inlineStr">
        <is>
          <t>Biome fodder</t>
        </is>
      </c>
    </row>
    <row r="231" ht="15" customHeight="1" s="39">
      <c r="A231" s="44" t="inlineStr">
        <is>
          <t>Biome fodder · Swamp</t>
        </is>
      </c>
      <c r="B231" s="44" t="inlineStr">
        <is>
          <t>5, 6</t>
        </is>
      </c>
      <c r="C231" s="44" t="inlineStr">
        <is>
          <t>Stone Turtle Warden</t>
        </is>
      </c>
      <c r="D231" s="44" t="inlineStr">
        <is>
          <t>stone-turtle-warden</t>
        </is>
      </c>
      <c r="E231" s="44" t="n"/>
      <c r="F231" s="44" t="inlineStr">
        <is>
          <t>Common</t>
        </is>
      </c>
      <c r="G231" s="44" t="n">
        <v>2</v>
      </c>
      <c r="H231" s="44" t="n">
        <v>2</v>
      </c>
      <c r="I231" s="44" t="n">
        <v>4</v>
      </c>
      <c r="J231" s="44" t="n">
        <v>30</v>
      </c>
      <c r="K231" s="45" t="inlineStr">
        <is>
          <t>Armor 4, Swimmer</t>
        </is>
      </c>
      <c r="L231" s="44" t="n"/>
      <c r="M231" s="44" t="inlineStr">
        <is>
          <t>Reptile (Scaled)</t>
        </is>
      </c>
      <c r="N231" s="44" t="inlineStr">
        <is>
          <t>Turtle</t>
        </is>
      </c>
      <c r="O231" s="44" t="inlineStr">
        <is>
          <t>Swamp</t>
        </is>
      </c>
      <c r="P231" s="45" t="inlineStr">
        <is>
          <t>Swamp enemy for Maps 5, 6</t>
        </is>
      </c>
      <c r="Q231" s="44" t="inlineStr">
        <is>
          <t>Biome fodder</t>
        </is>
      </c>
    </row>
    <row r="232" ht="15" customHeight="1" s="39">
      <c r="A232" s="44" t="inlineStr">
        <is>
          <t>Biome fodder · Swamp</t>
        </is>
      </c>
      <c r="B232" s="44" t="inlineStr">
        <is>
          <t>5, 6</t>
        </is>
      </c>
      <c r="C232" s="44" t="inlineStr">
        <is>
          <t>Gangrenous Leech</t>
        </is>
      </c>
      <c r="D232" s="44" t="inlineStr">
        <is>
          <t>gangrenous-leech</t>
        </is>
      </c>
      <c r="E232" s="44" t="n"/>
      <c r="F232" s="44" t="inlineStr">
        <is>
          <t>Uncommon</t>
        </is>
      </c>
      <c r="G232" s="44" t="n">
        <v>1</v>
      </c>
      <c r="H232" s="44" t="n">
        <v>1</v>
      </c>
      <c r="I232" s="44" t="n">
        <v>2</v>
      </c>
      <c r="J232" s="44" t="n">
        <v>12</v>
      </c>
      <c r="K232" s="45" t="inlineStr">
        <is>
          <t>Poison 2, Fester</t>
        </is>
      </c>
      <c r="L232" s="44" t="n"/>
      <c r="M232" s="44" t="inlineStr">
        <is>
          <t>Annelid (Crawler)</t>
        </is>
      </c>
      <c r="N232" s="44" t="inlineStr">
        <is>
          <t>Worm &amp; Leech</t>
        </is>
      </c>
      <c r="O232" s="44" t="inlineStr">
        <is>
          <t>Swamp</t>
        </is>
      </c>
      <c r="P232" s="45" t="inlineStr">
        <is>
          <t>Swamp enemy for Maps 5, 6</t>
        </is>
      </c>
      <c r="Q232" s="44" t="inlineStr">
        <is>
          <t>Biome fodder</t>
        </is>
      </c>
    </row>
    <row r="233" ht="15" customHeight="1" s="39">
      <c r="A233" s="41" t="inlineStr">
        <is>
          <t>Biome fodder · Ice</t>
        </is>
      </c>
      <c r="B233" s="41" t="inlineStr">
        <is>
          <t>17</t>
        </is>
      </c>
      <c r="C233" s="41" t="inlineStr">
        <is>
          <t>Glacial Ape-King</t>
        </is>
      </c>
      <c r="D233" s="41" t="inlineStr">
        <is>
          <t>glacial-ape-king</t>
        </is>
      </c>
      <c r="E233" s="41" t="n"/>
      <c r="F233" s="41" t="inlineStr">
        <is>
          <t>Common</t>
        </is>
      </c>
      <c r="G233" s="41" t="n">
        <v>4</v>
      </c>
      <c r="H233" s="41" t="n">
        <v>6</v>
      </c>
      <c r="I233" s="41" t="n">
        <v>13</v>
      </c>
      <c r="J233" s="41" t="n">
        <v>62</v>
      </c>
      <c r="K233" s="42" t="inlineStr">
        <is>
          <t>Bounty 1, Earthquake 4</t>
        </is>
      </c>
      <c r="L233" s="41" t="n"/>
      <c r="M233" s="41" t="inlineStr">
        <is>
          <t>Primate (Beast)</t>
        </is>
      </c>
      <c r="N233" s="41" t="inlineStr">
        <is>
          <t>Ape &amp; Monkey</t>
        </is>
      </c>
      <c r="O233" s="41" t="inlineStr">
        <is>
          <t>Ice</t>
        </is>
      </c>
      <c r="P233" s="42" t="inlineStr">
        <is>
          <t>Ice enemy for Map 17</t>
        </is>
      </c>
      <c r="Q233" s="41" t="inlineStr">
        <is>
          <t>Biome fodder</t>
        </is>
      </c>
    </row>
    <row r="234" ht="15" customHeight="1" s="39">
      <c r="A234" s="41" t="inlineStr">
        <is>
          <t>Biome fodder · Ice</t>
        </is>
      </c>
      <c r="B234" s="41" t="inlineStr">
        <is>
          <t>17</t>
        </is>
      </c>
      <c r="C234" s="41" t="inlineStr">
        <is>
          <t>Permafrost Mammoth</t>
        </is>
      </c>
      <c r="D234" s="41" t="inlineStr">
        <is>
          <t>permafrost-mammoth</t>
        </is>
      </c>
      <c r="E234" s="41" t="n"/>
      <c r="F234" s="41" t="inlineStr">
        <is>
          <t>Common</t>
        </is>
      </c>
      <c r="G234" s="41" t="n">
        <v>3</v>
      </c>
      <c r="H234" s="41" t="n">
        <v>3</v>
      </c>
      <c r="I234" s="41" t="n">
        <v>9</v>
      </c>
      <c r="J234" s="41" t="n">
        <v>34</v>
      </c>
      <c r="K234" s="42" t="inlineStr">
        <is>
          <t>Cleave 1, Nocturnal, Frostbite 2</t>
        </is>
      </c>
      <c r="L234" s="41" t="n"/>
      <c r="M234" s="41" t="inlineStr">
        <is>
          <t>Megafauna (Beast)</t>
        </is>
      </c>
      <c r="N234" s="41" t="inlineStr">
        <is>
          <t>Big Beast</t>
        </is>
      </c>
      <c r="O234" s="41" t="inlineStr">
        <is>
          <t>Ice</t>
        </is>
      </c>
      <c r="P234" s="42" t="inlineStr">
        <is>
          <t>Ice enemy for Map 17</t>
        </is>
      </c>
      <c r="Q234" s="41" t="inlineStr">
        <is>
          <t>Biome fodder</t>
        </is>
      </c>
    </row>
    <row r="235" ht="15" customHeight="1" s="39">
      <c r="A235" s="41" t="inlineStr">
        <is>
          <t>Biome fodder · Ice</t>
        </is>
      </c>
      <c r="B235" s="41" t="inlineStr">
        <is>
          <t>17</t>
        </is>
      </c>
      <c r="C235" s="41" t="inlineStr">
        <is>
          <t>Frost Thistle Lynx</t>
        </is>
      </c>
      <c r="D235" s="41" t="inlineStr">
        <is>
          <t>frost-thistle-lynx</t>
        </is>
      </c>
      <c r="E235" s="41" t="n"/>
      <c r="F235" s="41" t="inlineStr">
        <is>
          <t>Common</t>
        </is>
      </c>
      <c r="G235" s="41" t="n">
        <v>2</v>
      </c>
      <c r="H235" s="41" t="n">
        <v>1</v>
      </c>
      <c r="I235" s="41" t="n">
        <v>5</v>
      </c>
      <c r="J235" s="41" t="n">
        <v>12</v>
      </c>
      <c r="K235" s="42" t="inlineStr">
        <is>
          <t>Bleed 2</t>
        </is>
      </c>
      <c r="L235" s="41" t="n"/>
      <c r="M235" s="41" t="inlineStr">
        <is>
          <t>Felid (Beast)</t>
        </is>
      </c>
      <c r="N235" s="41" t="inlineStr">
        <is>
          <t>Cat</t>
        </is>
      </c>
      <c r="O235" s="41" t="inlineStr">
        <is>
          <t>Ice</t>
        </is>
      </c>
      <c r="P235" s="42" t="inlineStr">
        <is>
          <t>Ice enemy for Map 17</t>
        </is>
      </c>
      <c r="Q235" s="41" t="inlineStr">
        <is>
          <t>Biome fodder</t>
        </is>
      </c>
    </row>
    <row r="236" ht="15" customHeight="1" s="39">
      <c r="A236" s="41" t="inlineStr">
        <is>
          <t>Biome fodder · Ice</t>
        </is>
      </c>
      <c r="B236" s="41" t="inlineStr">
        <is>
          <t>17</t>
        </is>
      </c>
      <c r="C236" s="41" t="inlineStr">
        <is>
          <t>Arctic Fox Raider</t>
        </is>
      </c>
      <c r="D236" s="41" t="inlineStr">
        <is>
          <t>arctic-fox-raider</t>
        </is>
      </c>
      <c r="E236" s="41" t="n"/>
      <c r="F236" s="41" t="inlineStr">
        <is>
          <t>Rare</t>
        </is>
      </c>
      <c r="G236" s="41" t="n">
        <v>1</v>
      </c>
      <c r="H236" s="41" t="n">
        <v>0</v>
      </c>
      <c r="I236" s="41" t="n">
        <v>4</v>
      </c>
      <c r="J236" s="41" t="n">
        <v>6</v>
      </c>
      <c r="K236" s="42" t="inlineStr">
        <is>
          <t>Evasive</t>
        </is>
      </c>
      <c r="L236" s="41" t="n"/>
      <c r="M236" s="41" t="inlineStr">
        <is>
          <t>Canid (Beast)</t>
        </is>
      </c>
      <c r="N236" s="41" t="inlineStr">
        <is>
          <t>Fox</t>
        </is>
      </c>
      <c r="O236" s="41" t="inlineStr">
        <is>
          <t>Ice</t>
        </is>
      </c>
      <c r="P236" s="42" t="inlineStr">
        <is>
          <t>Ice enemy for Map 17</t>
        </is>
      </c>
      <c r="Q236" s="41" t="inlineStr">
        <is>
          <t>Biome fodder</t>
        </is>
      </c>
    </row>
    <row r="237" ht="15" customHeight="1" s="39">
      <c r="A237" s="41" t="inlineStr">
        <is>
          <t>Biome fodder · Ice</t>
        </is>
      </c>
      <c r="B237" s="41" t="inlineStr">
        <is>
          <t>17</t>
        </is>
      </c>
      <c r="C237" s="41" t="inlineStr">
        <is>
          <t>Quill Volley</t>
        </is>
      </c>
      <c r="D237" s="41" t="inlineStr">
        <is>
          <t>quill-volley</t>
        </is>
      </c>
      <c r="E237" s="41" t="n"/>
      <c r="F237" s="41" t="inlineStr">
        <is>
          <t>Rare</t>
        </is>
      </c>
      <c r="G237" s="41" t="n">
        <v>1</v>
      </c>
      <c r="H237" s="41" t="n">
        <v>0</v>
      </c>
      <c r="I237" s="41" t="n">
        <v>4</v>
      </c>
      <c r="J237" s="41" t="n">
        <v>14</v>
      </c>
      <c r="K237" s="42" t="inlineStr">
        <is>
          <t>Bounty 1, Pounce 2</t>
        </is>
      </c>
      <c r="L237" s="41" t="n"/>
      <c r="M237" s="41" t="inlineStr">
        <is>
          <t>Rodent (Beast)</t>
        </is>
      </c>
      <c r="N237" s="41" t="inlineStr">
        <is>
          <t>Porcupine</t>
        </is>
      </c>
      <c r="O237" s="41" t="inlineStr">
        <is>
          <t>Ice</t>
        </is>
      </c>
      <c r="P237" s="42" t="inlineStr">
        <is>
          <t>Ice enemy for Map 17</t>
        </is>
      </c>
      <c r="Q237" s="41" t="inlineStr">
        <is>
          <t>Biome fodder</t>
        </is>
      </c>
    </row>
    <row r="238" ht="15" customHeight="1" s="39">
      <c r="A238" s="41" t="inlineStr">
        <is>
          <t>Biome fodder · Ice</t>
        </is>
      </c>
      <c r="B238" s="41" t="inlineStr">
        <is>
          <t>17</t>
        </is>
      </c>
      <c r="C238" s="41" t="inlineStr">
        <is>
          <t>Snowshoe Hare</t>
        </is>
      </c>
      <c r="D238" s="41" t="inlineStr">
        <is>
          <t>snowshoe-hare</t>
        </is>
      </c>
      <c r="E238" s="41" t="n"/>
      <c r="F238" s="41" t="inlineStr">
        <is>
          <t>Common</t>
        </is>
      </c>
      <c r="G238" s="41" t="n">
        <v>0</v>
      </c>
      <c r="H238" s="41" t="n">
        <v>0</v>
      </c>
      <c r="I238" s="41" t="n">
        <v>1</v>
      </c>
      <c r="J238" s="41" t="n">
        <v>4</v>
      </c>
      <c r="K238" s="42" t="inlineStr">
        <is>
          <t>Evasive</t>
        </is>
      </c>
      <c r="L238" s="41" t="n"/>
      <c r="M238" s="41" t="inlineStr">
        <is>
          <t>Lagomorph (Beast)</t>
        </is>
      </c>
      <c r="N238" s="41" t="inlineStr">
        <is>
          <t>Rabbit &amp; Hare</t>
        </is>
      </c>
      <c r="O238" s="41" t="inlineStr">
        <is>
          <t>Ice</t>
        </is>
      </c>
      <c r="P238" s="42" t="inlineStr">
        <is>
          <t>Ice enemy for Map 17</t>
        </is>
      </c>
      <c r="Q238" s="41" t="inlineStr">
        <is>
          <t>Biome fodder</t>
        </is>
      </c>
    </row>
    <row r="239" ht="15" customHeight="1" s="39">
      <c r="A239" s="41" t="inlineStr">
        <is>
          <t>Biome fodder · Ice</t>
        </is>
      </c>
      <c r="B239" s="41" t="inlineStr">
        <is>
          <t>17</t>
        </is>
      </c>
      <c r="C239" s="43" t="inlineStr">
        <is>
          <t>Snow Ermine</t>
        </is>
      </c>
      <c r="D239" s="43" t="inlineStr">
        <is>
          <t>snow-ermine</t>
        </is>
      </c>
      <c r="E239" s="43" t="inlineStr">
        <is>
          <t>yes</t>
        </is>
      </c>
      <c r="F239" s="41" t="inlineStr">
        <is>
          <t>Common</t>
        </is>
      </c>
      <c r="G239" s="41" t="n">
        <v>0</v>
      </c>
      <c r="H239" s="41" t="n">
        <v>0</v>
      </c>
      <c r="I239" s="41" t="n">
        <v>2</v>
      </c>
      <c r="J239" s="41" t="n">
        <v>5</v>
      </c>
      <c r="K239" s="42" t="inlineStr">
        <is>
          <t>Evasive</t>
        </is>
      </c>
      <c r="L239" s="41" t="n"/>
      <c r="M239" s="41" t="inlineStr">
        <is>
          <t>Mustelid (Beast)</t>
        </is>
      </c>
      <c r="N239" s="41" t="inlineStr">
        <is>
          <t>Stoat &amp; Weasel</t>
        </is>
      </c>
      <c r="O239" s="41" t="inlineStr">
        <is>
          <t>Ice</t>
        </is>
      </c>
      <c r="P239" s="42" t="inlineStr">
        <is>
          <t>Ice enemy for Map 17</t>
        </is>
      </c>
      <c r="Q239" s="41" t="inlineStr">
        <is>
          <t>Biome fodder</t>
        </is>
      </c>
    </row>
    <row r="240" ht="15" customHeight="1" s="39">
      <c r="A240" s="41" t="inlineStr">
        <is>
          <t>Biome fodder · Ice</t>
        </is>
      </c>
      <c r="B240" s="41" t="inlineStr">
        <is>
          <t>17</t>
        </is>
      </c>
      <c r="C240" s="43" t="inlineStr">
        <is>
          <t>Harbor Seal</t>
        </is>
      </c>
      <c r="D240" s="43" t="inlineStr">
        <is>
          <t>harbor-seal</t>
        </is>
      </c>
      <c r="E240" s="43" t="inlineStr">
        <is>
          <t>yes</t>
        </is>
      </c>
      <c r="F240" s="41" t="inlineStr">
        <is>
          <t>Common</t>
        </is>
      </c>
      <c r="G240" s="41" t="n">
        <v>1</v>
      </c>
      <c r="H240" s="41" t="n">
        <v>1</v>
      </c>
      <c r="I240" s="41" t="n">
        <v>3</v>
      </c>
      <c r="J240" s="41" t="n">
        <v>11</v>
      </c>
      <c r="K240" s="42" t="inlineStr">
        <is>
          <t>Swimmer, Evasive</t>
        </is>
      </c>
      <c r="L240" s="41" t="n"/>
      <c r="M240" s="41" t="inlineStr">
        <is>
          <t>Pinniped (Beast)</t>
        </is>
      </c>
      <c r="N240" s="41" t="inlineStr">
        <is>
          <t>Whale &amp; Seal</t>
        </is>
      </c>
      <c r="O240" s="41" t="inlineStr">
        <is>
          <t>Ice</t>
        </is>
      </c>
      <c r="P240" s="42" t="inlineStr">
        <is>
          <t>Ice enemy for Map 17</t>
        </is>
      </c>
      <c r="Q240" s="41" t="inlineStr">
        <is>
          <t>Biome fodder</t>
        </is>
      </c>
    </row>
    <row r="241" ht="15" customHeight="1" s="39">
      <c r="A241" s="41" t="inlineStr">
        <is>
          <t>Biome fodder · Ice</t>
        </is>
      </c>
      <c r="B241" s="41" t="inlineStr">
        <is>
          <t>17</t>
        </is>
      </c>
      <c r="C241" s="41" t="inlineStr">
        <is>
          <t>Glacier Wolf Pack</t>
        </is>
      </c>
      <c r="D241" s="41" t="inlineStr">
        <is>
          <t>glacier-wolf-pack</t>
        </is>
      </c>
      <c r="E241" s="41" t="n"/>
      <c r="F241" s="41" t="inlineStr">
        <is>
          <t>Common</t>
        </is>
      </c>
      <c r="G241" s="41" t="n">
        <v>2</v>
      </c>
      <c r="H241" s="41" t="n">
        <v>1</v>
      </c>
      <c r="I241" s="41" t="n">
        <v>6</v>
      </c>
      <c r="J241" s="41" t="n">
        <v>16</v>
      </c>
      <c r="K241" s="42" t="inlineStr">
        <is>
          <t>Bleed 2</t>
        </is>
      </c>
      <c r="L241" s="41" t="n"/>
      <c r="M241" s="41" t="inlineStr">
        <is>
          <t>Canid (Beast)</t>
        </is>
      </c>
      <c r="N241" s="41" t="inlineStr">
        <is>
          <t>Wolf</t>
        </is>
      </c>
      <c r="O241" s="41" t="inlineStr">
        <is>
          <t>Ice</t>
        </is>
      </c>
      <c r="P241" s="42" t="inlineStr">
        <is>
          <t>Ice enemy for Map 17</t>
        </is>
      </c>
      <c r="Q241" s="41" t="inlineStr">
        <is>
          <t>Biome fodder</t>
        </is>
      </c>
    </row>
    <row r="242" ht="15" customHeight="1" s="39">
      <c r="A242" s="41" t="inlineStr">
        <is>
          <t>Biome fodder · Ice</t>
        </is>
      </c>
      <c r="B242" s="41" t="inlineStr">
        <is>
          <t>17</t>
        </is>
      </c>
      <c r="C242" s="41" t="inlineStr">
        <is>
          <t>Ice-Crevasse Wolf</t>
        </is>
      </c>
      <c r="D242" s="41" t="inlineStr">
        <is>
          <t>ice-crevasse-wolf</t>
        </is>
      </c>
      <c r="E242" s="41" t="n"/>
      <c r="F242" s="41" t="inlineStr">
        <is>
          <t>Rare</t>
        </is>
      </c>
      <c r="G242" s="41" t="n">
        <v>1</v>
      </c>
      <c r="H242" s="41" t="n">
        <v>1</v>
      </c>
      <c r="I242" s="41" t="n">
        <v>3</v>
      </c>
      <c r="J242" s="41" t="n">
        <v>10</v>
      </c>
      <c r="K242" s="42" t="inlineStr">
        <is>
          <t>Bleed 2</t>
        </is>
      </c>
      <c r="L242" s="41" t="n"/>
      <c r="M242" s="41" t="inlineStr">
        <is>
          <t>Canid (Beast)</t>
        </is>
      </c>
      <c r="N242" s="41" t="inlineStr">
        <is>
          <t>Wolf</t>
        </is>
      </c>
      <c r="O242" s="41" t="inlineStr">
        <is>
          <t>Ice</t>
        </is>
      </c>
      <c r="P242" s="42" t="inlineStr">
        <is>
          <t>Ice enemy for Map 17</t>
        </is>
      </c>
      <c r="Q242" s="41" t="inlineStr">
        <is>
          <t>Biome fodder</t>
        </is>
      </c>
    </row>
    <row r="243" ht="15" customHeight="1" s="39">
      <c r="A243" s="44" t="inlineStr">
        <is>
          <t>Biome fodder · Volcano</t>
        </is>
      </c>
      <c r="B243" s="44" t="inlineStr">
        <is>
          <t>19, 20</t>
        </is>
      </c>
      <c r="C243" s="44" t="inlineStr">
        <is>
          <t>Basalt Boar</t>
        </is>
      </c>
      <c r="D243" s="44" t="inlineStr">
        <is>
          <t>basalt-boar</t>
        </is>
      </c>
      <c r="E243" s="44" t="n"/>
      <c r="F243" s="44" t="inlineStr">
        <is>
          <t>Common</t>
        </is>
      </c>
      <c r="G243" s="44" t="n">
        <v>2</v>
      </c>
      <c r="H243" s="44" t="n">
        <v>1</v>
      </c>
      <c r="I243" s="44" t="n">
        <v>4</v>
      </c>
      <c r="J243" s="44" t="n">
        <v>20</v>
      </c>
      <c r="K243" s="45" t="inlineStr">
        <is>
          <t>Grit 1</t>
        </is>
      </c>
      <c r="L243" s="44" t="n"/>
      <c r="M243" s="44" t="inlineStr">
        <is>
          <t>Suid (Beast)</t>
        </is>
      </c>
      <c r="N243" s="44" t="inlineStr">
        <is>
          <t>Boar</t>
        </is>
      </c>
      <c r="O243" s="44" t="inlineStr">
        <is>
          <t>Volcano</t>
        </is>
      </c>
      <c r="P243" s="45" t="inlineStr">
        <is>
          <t>Volcano enemy for Maps 19, 20</t>
        </is>
      </c>
      <c r="Q243" s="44" t="inlineStr">
        <is>
          <t>Biome fodder</t>
        </is>
      </c>
    </row>
    <row r="244" ht="15" customHeight="1" s="39">
      <c r="A244" s="44" t="inlineStr">
        <is>
          <t>Biome fodder · Volcano</t>
        </is>
      </c>
      <c r="B244" s="44" t="inlineStr">
        <is>
          <t>19, 20</t>
        </is>
      </c>
      <c r="C244" s="43" t="inlineStr">
        <is>
          <t>Ember Centipede</t>
        </is>
      </c>
      <c r="D244" s="43" t="inlineStr">
        <is>
          <t>ember-centipede</t>
        </is>
      </c>
      <c r="E244" s="43" t="inlineStr">
        <is>
          <t>yes</t>
        </is>
      </c>
      <c r="F244" s="44" t="inlineStr">
        <is>
          <t>Common</t>
        </is>
      </c>
      <c r="G244" s="44" t="n">
        <v>0</v>
      </c>
      <c r="H244" s="44" t="n">
        <v>1</v>
      </c>
      <c r="I244" s="44" t="n">
        <v>2</v>
      </c>
      <c r="J244" s="44" t="n">
        <v>7</v>
      </c>
      <c r="K244" s="45" t="inlineStr">
        <is>
          <t>Quick, Dry</t>
        </is>
      </c>
      <c r="L244" s="44" t="n"/>
      <c r="M244" s="44" t="inlineStr">
        <is>
          <t>Myriapod (Arthropod)</t>
        </is>
      </c>
      <c r="N244" s="44" t="inlineStr">
        <is>
          <t>Centipede</t>
        </is>
      </c>
      <c r="O244" s="44" t="inlineStr">
        <is>
          <t>Volcano</t>
        </is>
      </c>
      <c r="P244" s="45" t="inlineStr">
        <is>
          <t>Volcano enemy for Maps 19, 20</t>
        </is>
      </c>
      <c r="Q244" s="44" t="inlineStr">
        <is>
          <t>Biome fodder</t>
        </is>
      </c>
    </row>
    <row r="245" ht="15" customHeight="1" s="39">
      <c r="A245" s="44" t="inlineStr">
        <is>
          <t>Biome fodder · Volcano</t>
        </is>
      </c>
      <c r="B245" s="44" t="inlineStr">
        <is>
          <t>19, 20</t>
        </is>
      </c>
      <c r="C245" s="44" t="inlineStr">
        <is>
          <t>Sulfur Vent Crab</t>
        </is>
      </c>
      <c r="D245" s="44" t="inlineStr">
        <is>
          <t>sulfur-vent-crab</t>
        </is>
      </c>
      <c r="E245" s="44" t="n"/>
      <c r="F245" s="44" t="inlineStr">
        <is>
          <t>Uncommon</t>
        </is>
      </c>
      <c r="G245" s="44" t="n">
        <v>0</v>
      </c>
      <c r="H245" s="44" t="n">
        <v>1</v>
      </c>
      <c r="I245" s="44" t="n">
        <v>1</v>
      </c>
      <c r="J245" s="44" t="n">
        <v>9</v>
      </c>
      <c r="K245" s="45" t="inlineStr">
        <is>
          <t>Thorns 1, Tide, Molting 4</t>
        </is>
      </c>
      <c r="L245" s="44" t="n"/>
      <c r="M245" s="44" t="inlineStr">
        <is>
          <t>Crustacean (Arthropod)</t>
        </is>
      </c>
      <c r="N245" s="44" t="inlineStr">
        <is>
          <t>Crab &amp; Shrimp</t>
        </is>
      </c>
      <c r="O245" s="44" t="inlineStr">
        <is>
          <t>Volcano</t>
        </is>
      </c>
      <c r="P245" s="45" t="inlineStr">
        <is>
          <t>Volcano enemy for Maps 19, 20</t>
        </is>
      </c>
      <c r="Q245" s="44" t="inlineStr">
        <is>
          <t>Biome fodder</t>
        </is>
      </c>
    </row>
    <row r="246" ht="15" customHeight="1" s="39">
      <c r="A246" s="44" t="inlineStr">
        <is>
          <t>Biome fodder · Volcano</t>
        </is>
      </c>
      <c r="B246" s="44" t="inlineStr">
        <is>
          <t>19, 20</t>
        </is>
      </c>
      <c r="C246" s="44" t="inlineStr">
        <is>
          <t>Ember Jackal</t>
        </is>
      </c>
      <c r="D246" s="44" t="inlineStr">
        <is>
          <t>ember-jackal</t>
        </is>
      </c>
      <c r="E246" s="44" t="n"/>
      <c r="F246" s="44" t="inlineStr">
        <is>
          <t>Rare</t>
        </is>
      </c>
      <c r="G246" s="44" t="n">
        <v>1</v>
      </c>
      <c r="H246" s="44" t="n">
        <v>0</v>
      </c>
      <c r="I246" s="44" t="n">
        <v>3</v>
      </c>
      <c r="J246" s="44" t="n">
        <v>8</v>
      </c>
      <c r="K246" s="45" t="inlineStr">
        <is>
          <t>Frenzy</t>
        </is>
      </c>
      <c r="L246" s="44" t="n"/>
      <c r="M246" s="44" t="inlineStr">
        <is>
          <t>Canid (Beast)</t>
        </is>
      </c>
      <c r="N246" s="44" t="inlineStr">
        <is>
          <t>Jackal &amp; Hyena</t>
        </is>
      </c>
      <c r="O246" s="44" t="inlineStr">
        <is>
          <t>Volcano</t>
        </is>
      </c>
      <c r="P246" s="45" t="inlineStr">
        <is>
          <t>Volcano enemy for Maps 19, 20</t>
        </is>
      </c>
      <c r="Q246" s="44" t="inlineStr">
        <is>
          <t>Biome fodder</t>
        </is>
      </c>
    </row>
    <row r="247" ht="15" customHeight="1" s="39">
      <c r="A247" s="44" t="inlineStr">
        <is>
          <t>Biome fodder · Volcano</t>
        </is>
      </c>
      <c r="B247" s="44" t="inlineStr">
        <is>
          <t>19, 20</t>
        </is>
      </c>
      <c r="C247" s="43" t="inlineStr">
        <is>
          <t>Cinder Gecko</t>
        </is>
      </c>
      <c r="D247" s="43" t="inlineStr">
        <is>
          <t>cinder-gecko</t>
        </is>
      </c>
      <c r="E247" s="43" t="inlineStr">
        <is>
          <t>yes</t>
        </is>
      </c>
      <c r="F247" s="44" t="inlineStr">
        <is>
          <t>Common</t>
        </is>
      </c>
      <c r="G247" s="44" t="n">
        <v>0</v>
      </c>
      <c r="H247" s="44" t="n">
        <v>0</v>
      </c>
      <c r="I247" s="44" t="n">
        <v>2</v>
      </c>
      <c r="J247" s="44" t="n">
        <v>4</v>
      </c>
      <c r="K247" s="45" t="inlineStr">
        <is>
          <t>Evasive, Dry</t>
        </is>
      </c>
      <c r="L247" s="44" t="n"/>
      <c r="M247" s="44" t="inlineStr">
        <is>
          <t>Reptile (Scaled)</t>
        </is>
      </c>
      <c r="N247" s="44" t="inlineStr">
        <is>
          <t>Lizard</t>
        </is>
      </c>
      <c r="O247" s="44" t="inlineStr">
        <is>
          <t>Volcano</t>
        </is>
      </c>
      <c r="P247" s="45" t="inlineStr">
        <is>
          <t>Volcano enemy for Maps 19, 20</t>
        </is>
      </c>
      <c r="Q247" s="44" t="inlineStr">
        <is>
          <t>Biome fodder</t>
        </is>
      </c>
    </row>
    <row r="248" ht="15" customHeight="1" s="39">
      <c r="A248" s="44" t="inlineStr">
        <is>
          <t>Biome fodder · Volcano</t>
        </is>
      </c>
      <c r="B248" s="44" t="inlineStr">
        <is>
          <t>19, 20</t>
        </is>
      </c>
      <c r="C248" s="43" t="inlineStr">
        <is>
          <t>Ash Moth</t>
        </is>
      </c>
      <c r="D248" s="43" t="inlineStr">
        <is>
          <t>ash-moth</t>
        </is>
      </c>
      <c r="E248" s="43" t="inlineStr">
        <is>
          <t>yes</t>
        </is>
      </c>
      <c r="F248" s="44" t="inlineStr">
        <is>
          <t>Common</t>
        </is>
      </c>
      <c r="G248" s="44" t="n">
        <v>1</v>
      </c>
      <c r="H248" s="44" t="n">
        <v>0</v>
      </c>
      <c r="I248" s="44" t="n">
        <v>2</v>
      </c>
      <c r="J248" s="44" t="n">
        <v>6</v>
      </c>
      <c r="K248" s="45" t="inlineStr">
        <is>
          <t>Flying, Nocturnal</t>
        </is>
      </c>
      <c r="L248" s="44" t="n"/>
      <c r="M248" s="44" t="inlineStr">
        <is>
          <t>Insect (Arthropod)</t>
        </is>
      </c>
      <c r="N248" s="44" t="inlineStr">
        <is>
          <t>Moth &amp; Butterfly</t>
        </is>
      </c>
      <c r="O248" s="44" t="inlineStr">
        <is>
          <t>Volcano</t>
        </is>
      </c>
      <c r="P248" s="45" t="inlineStr">
        <is>
          <t>Volcano enemy for Maps 19, 20</t>
        </is>
      </c>
      <c r="Q248" s="44" t="inlineStr">
        <is>
          <t>Biome fodder</t>
        </is>
      </c>
    </row>
    <row r="249" ht="15" customHeight="1" s="39">
      <c r="A249" s="44" t="inlineStr">
        <is>
          <t>Biome fodder · Volcano</t>
        </is>
      </c>
      <c r="B249" s="44" t="inlineStr">
        <is>
          <t>19, 20</t>
        </is>
      </c>
      <c r="C249" s="44" t="inlineStr">
        <is>
          <t>Raven Harbinger</t>
        </is>
      </c>
      <c r="D249" s="44" t="inlineStr">
        <is>
          <t>raven-harbinger</t>
        </is>
      </c>
      <c r="E249" s="44" t="n"/>
      <c r="F249" s="44" t="inlineStr">
        <is>
          <t>Common</t>
        </is>
      </c>
      <c r="G249" s="44" t="n">
        <v>2</v>
      </c>
      <c r="H249" s="44" t="n">
        <v>2</v>
      </c>
      <c r="I249" s="44" t="n">
        <v>5</v>
      </c>
      <c r="J249" s="44" t="n">
        <v>20</v>
      </c>
      <c r="K249" s="45" t="inlineStr">
        <is>
          <t>Poison 2, Bounty 1, Flying</t>
        </is>
      </c>
      <c r="L249" s="44" t="n"/>
      <c r="M249" s="44" t="inlineStr">
        <is>
          <t>Bird</t>
        </is>
      </c>
      <c r="N249" s="44" t="inlineStr">
        <is>
          <t>Raven &amp; Crow</t>
        </is>
      </c>
      <c r="O249" s="44" t="inlineStr">
        <is>
          <t>Volcano</t>
        </is>
      </c>
      <c r="P249" s="45" t="inlineStr">
        <is>
          <t>Volcano enemy for Maps 19, 20</t>
        </is>
      </c>
      <c r="Q249" s="44" t="inlineStr">
        <is>
          <t>Biome fodder</t>
        </is>
      </c>
    </row>
    <row r="250" ht="15" customHeight="1" s="39">
      <c r="A250" s="44" t="inlineStr">
        <is>
          <t>Biome fodder · Volcano</t>
        </is>
      </c>
      <c r="B250" s="44" t="inlineStr">
        <is>
          <t>19, 20</t>
        </is>
      </c>
      <c r="C250" s="44" t="inlineStr">
        <is>
          <t>Phoenix Fledgling</t>
        </is>
      </c>
      <c r="D250" s="44" t="inlineStr">
        <is>
          <t>phoenix-fledgling</t>
        </is>
      </c>
      <c r="E250" s="44" t="n"/>
      <c r="F250" s="44" t="inlineStr">
        <is>
          <t>Common</t>
        </is>
      </c>
      <c r="G250" s="44" t="n">
        <v>2</v>
      </c>
      <c r="H250" s="44" t="n">
        <v>1</v>
      </c>
      <c r="I250" s="44" t="n">
        <v>3</v>
      </c>
      <c r="J250" s="44" t="n">
        <v>14</v>
      </c>
      <c r="K250" s="45" t="inlineStr">
        <is>
          <t>Renewal, Flying</t>
        </is>
      </c>
      <c r="L250" s="44" t="n"/>
      <c r="M250" s="44" t="inlineStr">
        <is>
          <t>Bird</t>
        </is>
      </c>
      <c r="N250" s="44" t="inlineStr">
        <is>
          <t>Songbird</t>
        </is>
      </c>
      <c r="O250" s="44" t="inlineStr">
        <is>
          <t>Volcano</t>
        </is>
      </c>
      <c r="P250" s="45" t="inlineStr">
        <is>
          <t>Volcano enemy for Maps 19, 20</t>
        </is>
      </c>
      <c r="Q250" s="44" t="inlineStr">
        <is>
          <t>Biome fodder</t>
        </is>
      </c>
    </row>
    <row r="251" ht="15" customHeight="1" s="39">
      <c r="A251" s="44" t="inlineStr">
        <is>
          <t>Biome fodder · Volcano</t>
        </is>
      </c>
      <c r="B251" s="44" t="inlineStr">
        <is>
          <t>19, 20</t>
        </is>
      </c>
      <c r="C251" s="44" t="inlineStr">
        <is>
          <t>Obsidian Scorpion</t>
        </is>
      </c>
      <c r="D251" s="44" t="inlineStr">
        <is>
          <t>obsidian-scorpion</t>
        </is>
      </c>
      <c r="E251" s="44" t="n"/>
      <c r="F251" s="44" t="inlineStr">
        <is>
          <t>Rare</t>
        </is>
      </c>
      <c r="G251" s="44" t="n">
        <v>1</v>
      </c>
      <c r="H251" s="44" t="n">
        <v>1</v>
      </c>
      <c r="I251" s="44" t="n">
        <v>2</v>
      </c>
      <c r="J251" s="44" t="n">
        <v>10</v>
      </c>
      <c r="K251" s="45" t="inlineStr">
        <is>
          <t>Armor 2, Poison 2</t>
        </is>
      </c>
      <c r="L251" s="44" t="n"/>
      <c r="M251" s="44" t="inlineStr">
        <is>
          <t>Arachnid (Arthropod)</t>
        </is>
      </c>
      <c r="N251" s="44" t="inlineStr">
        <is>
          <t>Spider &amp; Scorpion</t>
        </is>
      </c>
      <c r="O251" s="44" t="inlineStr">
        <is>
          <t>Volcano</t>
        </is>
      </c>
      <c r="P251" s="45" t="inlineStr">
        <is>
          <t>Volcano enemy for Maps 19, 20</t>
        </is>
      </c>
      <c r="Q251" s="44" t="inlineStr">
        <is>
          <t>Biome fodder</t>
        </is>
      </c>
    </row>
    <row r="252" ht="23.25" customHeight="1" s="39">
      <c r="A252" s="41" t="inlineStr">
        <is>
          <t>Biome fodder · Cave</t>
        </is>
      </c>
      <c r="B252" s="41" t="inlineStr">
        <is>
          <t>8</t>
        </is>
      </c>
      <c r="C252" s="41" t="inlineStr">
        <is>
          <t>Vampire Roost</t>
        </is>
      </c>
      <c r="D252" s="41" t="inlineStr">
        <is>
          <t>vampire-roost</t>
        </is>
      </c>
      <c r="E252" s="41" t="n"/>
      <c r="F252" s="41" t="inlineStr">
        <is>
          <t>Common</t>
        </is>
      </c>
      <c r="G252" s="41" t="n">
        <v>2</v>
      </c>
      <c r="H252" s="41" t="n">
        <v>3</v>
      </c>
      <c r="I252" s="41" t="n">
        <v>5</v>
      </c>
      <c r="J252" s="41" t="n">
        <v>18</v>
      </c>
      <c r="K252" s="42" t="inlineStr">
        <is>
          <t>Progeny (2× bat-swarmling), Bounty 1, Nocturnal</t>
        </is>
      </c>
      <c r="L252" s="41" t="n"/>
      <c r="M252" s="41" t="inlineStr">
        <is>
          <t>Bat (Beast)</t>
        </is>
      </c>
      <c r="N252" s="41" t="inlineStr">
        <is>
          <t>Bat</t>
        </is>
      </c>
      <c r="O252" s="41" t="inlineStr">
        <is>
          <t>Cave</t>
        </is>
      </c>
      <c r="P252" s="42" t="inlineStr">
        <is>
          <t>Cave enemy for Map 8</t>
        </is>
      </c>
      <c r="Q252" s="41" t="inlineStr">
        <is>
          <t>Biome fodder</t>
        </is>
      </c>
    </row>
    <row r="253" ht="15" customHeight="1" s="39">
      <c r="A253" s="41" t="inlineStr">
        <is>
          <t>Biome fodder · Cave</t>
        </is>
      </c>
      <c r="B253" s="41" t="inlineStr">
        <is>
          <t>8</t>
        </is>
      </c>
      <c r="C253" s="41" t="inlineStr">
        <is>
          <t>Cave Bat Swarm</t>
        </is>
      </c>
      <c r="D253" s="41" t="inlineStr">
        <is>
          <t>cave-bat-swarm</t>
        </is>
      </c>
      <c r="E253" s="41" t="n"/>
      <c r="F253" s="41" t="inlineStr">
        <is>
          <t>Rare</t>
        </is>
      </c>
      <c r="G253" s="41" t="n">
        <v>0</v>
      </c>
      <c r="H253" s="41" t="n">
        <v>0</v>
      </c>
      <c r="I253" s="41" t="n">
        <v>2</v>
      </c>
      <c r="J253" s="41" t="n">
        <v>3</v>
      </c>
      <c r="K253" s="42" t="inlineStr">
        <is>
          <t>Flying, Nocturnal, Fork</t>
        </is>
      </c>
      <c r="L253" s="41" t="n"/>
      <c r="M253" s="41" t="inlineStr">
        <is>
          <t>Bat (Beast)</t>
        </is>
      </c>
      <c r="N253" s="41" t="inlineStr">
        <is>
          <t>Bat</t>
        </is>
      </c>
      <c r="O253" s="41" t="inlineStr">
        <is>
          <t>Cave</t>
        </is>
      </c>
      <c r="P253" s="42" t="inlineStr">
        <is>
          <t>Cave enemy for Map 8</t>
        </is>
      </c>
      <c r="Q253" s="41" t="inlineStr">
        <is>
          <t>Biome fodder</t>
        </is>
      </c>
    </row>
    <row r="254" ht="15" customHeight="1" s="39">
      <c r="A254" s="41" t="inlineStr">
        <is>
          <t>Biome fodder · Cave</t>
        </is>
      </c>
      <c r="B254" s="41" t="inlineStr">
        <is>
          <t>8</t>
        </is>
      </c>
      <c r="C254" s="41" t="inlineStr">
        <is>
          <t>Glowworm Cluster</t>
        </is>
      </c>
      <c r="D254" s="41" t="inlineStr">
        <is>
          <t>glowworm-cluster</t>
        </is>
      </c>
      <c r="E254" s="41" t="n"/>
      <c r="F254" s="41" t="inlineStr">
        <is>
          <t>Common</t>
        </is>
      </c>
      <c r="G254" s="41" t="n">
        <v>0</v>
      </c>
      <c r="H254" s="41" t="n">
        <v>1</v>
      </c>
      <c r="I254" s="41" t="n">
        <v>2</v>
      </c>
      <c r="J254" s="41" t="n">
        <v>6</v>
      </c>
      <c r="K254" s="42" t="inlineStr">
        <is>
          <t>Nocturnal, Prayer 1</t>
        </is>
      </c>
      <c r="L254" s="41" t="n"/>
      <c r="M254" s="41" t="inlineStr">
        <is>
          <t>Insect (Arthropod)</t>
        </is>
      </c>
      <c r="N254" s="41" t="inlineStr">
        <is>
          <t>Beetle &amp; Bug</t>
        </is>
      </c>
      <c r="O254" s="41" t="inlineStr">
        <is>
          <t>Cave</t>
        </is>
      </c>
      <c r="P254" s="42" t="inlineStr">
        <is>
          <t>Cave enemy for Map 8</t>
        </is>
      </c>
      <c r="Q254" s="41" t="inlineStr">
        <is>
          <t>Biome fodder</t>
        </is>
      </c>
    </row>
    <row r="255" ht="15" customHeight="1" s="39">
      <c r="A255" s="41" t="inlineStr">
        <is>
          <t>Biome fodder · Cave</t>
        </is>
      </c>
      <c r="B255" s="41" t="inlineStr">
        <is>
          <t>8</t>
        </is>
      </c>
      <c r="C255" s="41" t="inlineStr">
        <is>
          <t>Cave Centipede</t>
        </is>
      </c>
      <c r="D255" s="41" t="inlineStr">
        <is>
          <t>cave-centipede</t>
        </is>
      </c>
      <c r="E255" s="41" t="n"/>
      <c r="F255" s="41" t="inlineStr">
        <is>
          <t>Common</t>
        </is>
      </c>
      <c r="G255" s="41" t="n">
        <v>0</v>
      </c>
      <c r="H255" s="41" t="n">
        <v>1</v>
      </c>
      <c r="I255" s="41" t="n">
        <v>3</v>
      </c>
      <c r="J255" s="41" t="n">
        <v>6</v>
      </c>
      <c r="K255" s="42" t="inlineStr">
        <is>
          <t>Quick, Poison 1, Darksight</t>
        </is>
      </c>
      <c r="L255" s="41" t="n"/>
      <c r="M255" s="41" t="inlineStr">
        <is>
          <t>Myriapod (Arthropod)</t>
        </is>
      </c>
      <c r="N255" s="41" t="inlineStr">
        <is>
          <t>Centipede</t>
        </is>
      </c>
      <c r="O255" s="41" t="inlineStr">
        <is>
          <t>Cave</t>
        </is>
      </c>
      <c r="P255" s="42" t="inlineStr">
        <is>
          <t>Cave enemy for Map 8</t>
        </is>
      </c>
      <c r="Q255" s="41" t="inlineStr">
        <is>
          <t>Biome fodder</t>
        </is>
      </c>
    </row>
    <row r="256" ht="23.25" customHeight="1" s="39">
      <c r="A256" s="41" t="inlineStr">
        <is>
          <t>Biome fodder · Cave</t>
        </is>
      </c>
      <c r="B256" s="41" t="inlineStr">
        <is>
          <t>8</t>
        </is>
      </c>
      <c r="C256" s="41" t="inlineStr">
        <is>
          <t>Millipede Hauler</t>
        </is>
      </c>
      <c r="D256" s="41" t="inlineStr">
        <is>
          <t>millipede-hauler</t>
        </is>
      </c>
      <c r="E256" s="41" t="n"/>
      <c r="F256" s="41" t="inlineStr">
        <is>
          <t>Uncommon</t>
        </is>
      </c>
      <c r="G256" s="41" t="n">
        <v>1</v>
      </c>
      <c r="H256" s="41" t="n">
        <v>2</v>
      </c>
      <c r="I256" s="41" t="n">
        <v>2</v>
      </c>
      <c r="J256" s="41" t="n">
        <v>16</v>
      </c>
      <c r="K256" s="42" t="inlineStr">
        <is>
          <t>Armor 1, Progeny (3× worker-ant), Darksight</t>
        </is>
      </c>
      <c r="L256" s="41" t="n"/>
      <c r="M256" s="41" t="inlineStr">
        <is>
          <t>Myriapod (Arthropod)</t>
        </is>
      </c>
      <c r="N256" s="41" t="inlineStr">
        <is>
          <t>Centipede</t>
        </is>
      </c>
      <c r="O256" s="41" t="inlineStr">
        <is>
          <t>Cave</t>
        </is>
      </c>
      <c r="P256" s="42" t="inlineStr">
        <is>
          <t>Cave enemy for Map 8</t>
        </is>
      </c>
      <c r="Q256" s="41" t="inlineStr">
        <is>
          <t>Biome fodder</t>
        </is>
      </c>
    </row>
    <row r="257" ht="15" customHeight="1" s="39">
      <c r="A257" s="41" t="inlineStr">
        <is>
          <t>Biome fodder · Cave</t>
        </is>
      </c>
      <c r="B257" s="41" t="inlineStr">
        <is>
          <t>8</t>
        </is>
      </c>
      <c r="C257" s="41" t="inlineStr">
        <is>
          <t>Tiny Cave Dweller</t>
        </is>
      </c>
      <c r="D257" s="41" t="inlineStr">
        <is>
          <t>tiny-cave-dweller</t>
        </is>
      </c>
      <c r="E257" s="41" t="n"/>
      <c r="F257" s="41" t="inlineStr">
        <is>
          <t>Uncommon</t>
        </is>
      </c>
      <c r="G257" s="41" t="n">
        <v>0</v>
      </c>
      <c r="H257" s="41" t="n">
        <v>0</v>
      </c>
      <c r="I257" s="41" t="n">
        <v>1</v>
      </c>
      <c r="J257" s="41" t="n">
        <v>4</v>
      </c>
      <c r="K257" s="42" t="inlineStr">
        <is>
          <t>Armor 1, Nocturnal, Worthy 1</t>
        </is>
      </c>
      <c r="L257" s="41" t="n"/>
      <c r="M257" s="41" t="inlineStr">
        <is>
          <t>Crustacean (Arthropod)</t>
        </is>
      </c>
      <c r="N257" s="41" t="inlineStr">
        <is>
          <t>Crab &amp; Shrimp</t>
        </is>
      </c>
      <c r="O257" s="41" t="inlineStr">
        <is>
          <t>Cave</t>
        </is>
      </c>
      <c r="P257" s="42" t="inlineStr">
        <is>
          <t>Cave enemy for Map 8</t>
        </is>
      </c>
      <c r="Q257" s="41" t="inlineStr">
        <is>
          <t>Biome fodder</t>
        </is>
      </c>
    </row>
    <row r="258" ht="15" customHeight="1" s="39">
      <c r="A258" s="41" t="inlineStr">
        <is>
          <t>Biome fodder · Cave</t>
        </is>
      </c>
      <c r="B258" s="41" t="inlineStr">
        <is>
          <t>8</t>
        </is>
      </c>
      <c r="C258" s="41" t="inlineStr">
        <is>
          <t>Ore-Smelter Mole</t>
        </is>
      </c>
      <c r="D258" s="41" t="inlineStr">
        <is>
          <t>ore-smelter-mole</t>
        </is>
      </c>
      <c r="E258" s="41" t="n"/>
      <c r="F258" s="41" t="inlineStr">
        <is>
          <t>Uncommon</t>
        </is>
      </c>
      <c r="G258" s="41" t="n">
        <v>1</v>
      </c>
      <c r="H258" s="41" t="n">
        <v>1</v>
      </c>
      <c r="I258" s="41" t="n">
        <v>1</v>
      </c>
      <c r="J258" s="41" t="n">
        <v>10</v>
      </c>
      <c r="K258" s="42" t="inlineStr">
        <is>
          <t>Heavy Metal, Mine (metal), Darksight</t>
        </is>
      </c>
      <c r="L258" s="41" t="n"/>
      <c r="M258" s="41" t="inlineStr">
        <is>
          <t>Rodent (Beast)</t>
        </is>
      </c>
      <c r="N258" s="41" t="inlineStr">
        <is>
          <t>Mole</t>
        </is>
      </c>
      <c r="O258" s="41" t="inlineStr">
        <is>
          <t>Cave</t>
        </is>
      </c>
      <c r="P258" s="42" t="inlineStr">
        <is>
          <t>Cave enemy for Map 8</t>
        </is>
      </c>
      <c r="Q258" s="41" t="inlineStr">
        <is>
          <t>Biome fodder</t>
        </is>
      </c>
    </row>
    <row r="259" ht="15" customHeight="1" s="39">
      <c r="A259" s="41" t="inlineStr">
        <is>
          <t>Biome fodder · Cave</t>
        </is>
      </c>
      <c r="B259" s="41" t="inlineStr">
        <is>
          <t>8</t>
        </is>
      </c>
      <c r="C259" s="41" t="inlineStr">
        <is>
          <t>Subterraneaner</t>
        </is>
      </c>
      <c r="D259" s="41" t="inlineStr">
        <is>
          <t>subterraneaner</t>
        </is>
      </c>
      <c r="E259" s="41" t="n"/>
      <c r="F259" s="41" t="inlineStr">
        <is>
          <t>Uncommon</t>
        </is>
      </c>
      <c r="G259" s="41" t="n">
        <v>1</v>
      </c>
      <c r="H259" s="41" t="n">
        <v>1</v>
      </c>
      <c r="I259" s="41" t="n">
        <v>5</v>
      </c>
      <c r="J259" s="41" t="n">
        <v>8</v>
      </c>
      <c r="K259" s="42" t="inlineStr">
        <is>
          <t>Stealth, Ambush, Darksight</t>
        </is>
      </c>
      <c r="L259" s="41" t="n"/>
      <c r="M259" s="41" t="inlineStr">
        <is>
          <t>Mammal</t>
        </is>
      </c>
      <c r="N259" s="41" t="inlineStr">
        <is>
          <t>Mole</t>
        </is>
      </c>
      <c r="O259" s="41" t="inlineStr">
        <is>
          <t>Cave</t>
        </is>
      </c>
      <c r="P259" s="42" t="inlineStr">
        <is>
          <t>Cave enemy for Map 8</t>
        </is>
      </c>
      <c r="Q259" s="41" t="inlineStr">
        <is>
          <t>Biome fodder</t>
        </is>
      </c>
    </row>
    <row r="260" ht="15" customHeight="1" s="39">
      <c r="A260" s="41" t="inlineStr">
        <is>
          <t>Biome fodder · Cave</t>
        </is>
      </c>
      <c r="B260" s="41" t="inlineStr">
        <is>
          <t>8</t>
        </is>
      </c>
      <c r="C260" s="43" t="inlineStr">
        <is>
          <t>Cave Olm</t>
        </is>
      </c>
      <c r="D260" s="43" t="inlineStr">
        <is>
          <t>cave-olm</t>
        </is>
      </c>
      <c r="E260" s="43" t="inlineStr">
        <is>
          <t>yes</t>
        </is>
      </c>
      <c r="F260" s="41" t="inlineStr">
        <is>
          <t>Common</t>
        </is>
      </c>
      <c r="G260" s="41" t="n">
        <v>0</v>
      </c>
      <c r="H260" s="41" t="n">
        <v>1</v>
      </c>
      <c r="I260" s="41" t="n">
        <v>1</v>
      </c>
      <c r="J260" s="41" t="n">
        <v>9</v>
      </c>
      <c r="K260" s="42" t="inlineStr">
        <is>
          <t>Darksight, Regeneration 1</t>
        </is>
      </c>
      <c r="L260" s="41" t="n"/>
      <c r="M260" s="41" t="inlineStr">
        <is>
          <t>Amphibian (Scaled)</t>
        </is>
      </c>
      <c r="N260" s="41" t="inlineStr">
        <is>
          <t>Newt &amp; Salamander</t>
        </is>
      </c>
      <c r="O260" s="41" t="inlineStr">
        <is>
          <t>Cave</t>
        </is>
      </c>
      <c r="P260" s="42" t="inlineStr">
        <is>
          <t>Cave enemy for Map 8</t>
        </is>
      </c>
      <c r="Q260" s="41" t="inlineStr">
        <is>
          <t>Biome fodder</t>
        </is>
      </c>
    </row>
    <row r="261" ht="15" customHeight="1" s="39">
      <c r="A261" s="41" t="inlineStr">
        <is>
          <t>Biome fodder · Cave</t>
        </is>
      </c>
      <c r="B261" s="41" t="inlineStr">
        <is>
          <t>8</t>
        </is>
      </c>
      <c r="C261" s="43" t="inlineStr">
        <is>
          <t>Glimmer Spider</t>
        </is>
      </c>
      <c r="D261" s="43" t="inlineStr">
        <is>
          <t>glimmer-spider</t>
        </is>
      </c>
      <c r="E261" s="43" t="inlineStr">
        <is>
          <t>yes</t>
        </is>
      </c>
      <c r="F261" s="41" t="inlineStr">
        <is>
          <t>Uncommon</t>
        </is>
      </c>
      <c r="G261" s="41" t="n">
        <v>1</v>
      </c>
      <c r="H261" s="41" t="n">
        <v>1</v>
      </c>
      <c r="I261" s="41" t="n">
        <v>3</v>
      </c>
      <c r="J261" s="41" t="n">
        <v>9</v>
      </c>
      <c r="K261" s="42" t="inlineStr">
        <is>
          <t>Darksight, Poison 1</t>
        </is>
      </c>
      <c r="L261" s="41" t="n"/>
      <c r="M261" s="41" t="inlineStr">
        <is>
          <t>Arachnid (Arthropod)</t>
        </is>
      </c>
      <c r="N261" s="41" t="inlineStr">
        <is>
          <t>Spider &amp; Scorpion</t>
        </is>
      </c>
      <c r="O261" s="41" t="inlineStr">
        <is>
          <t>Cave</t>
        </is>
      </c>
      <c r="P261" s="42" t="inlineStr">
        <is>
          <t>Cave enemy for Map 8</t>
        </is>
      </c>
      <c r="Q261" s="41" t="inlineStr">
        <is>
          <t>Biome fodder</t>
        </is>
      </c>
    </row>
    <row r="262" ht="15" customHeight="1" s="39">
      <c r="A262" s="44" t="inlineStr">
        <is>
          <t>Mystery pack (Map 20 side map)</t>
        </is>
      </c>
      <c r="B262" s="44" t="inlineStr">
        <is>
          <t>20</t>
        </is>
      </c>
      <c r="C262" s="44" t="inlineStr">
        <is>
          <t>Upside-Down Bat</t>
        </is>
      </c>
      <c r="D262" s="44" t="inlineStr">
        <is>
          <t>upside-down-bat</t>
        </is>
      </c>
      <c r="E262" s="44" t="n"/>
      <c r="F262" s="44" t="inlineStr">
        <is>
          <t>Uncommon</t>
        </is>
      </c>
      <c r="G262" s="44" t="n">
        <v>0</v>
      </c>
      <c r="H262" s="44" t="n">
        <v>0</v>
      </c>
      <c r="I262" s="44" t="n">
        <v>2</v>
      </c>
      <c r="J262" s="44" t="n">
        <v>2</v>
      </c>
      <c r="K262" s="45" t="inlineStr">
        <is>
          <t>Flying, Diurnal</t>
        </is>
      </c>
      <c r="L262" s="44" t="n"/>
      <c r="M262" s="44" t="inlineStr">
        <is>
          <t>Bat (Beast)</t>
        </is>
      </c>
      <c r="N262" s="44" t="inlineStr">
        <is>
          <t>Bat</t>
        </is>
      </c>
      <c r="O262" s="44" t="inlineStr">
        <is>
          <t>Anywhere</t>
        </is>
      </c>
      <c r="P262" s="45" t="inlineStr">
        <is>
          <t>Oddity: one of the Mystery Booster cards</t>
        </is>
      </c>
      <c r="Q262" s="44" t="inlineStr">
        <is>
          <t>Mystery pack</t>
        </is>
      </c>
    </row>
    <row r="263" ht="15" customHeight="1" s="39">
      <c r="A263" s="44" t="inlineStr">
        <is>
          <t>Mystery pack (Map 20 side map)</t>
        </is>
      </c>
      <c r="B263" s="44" t="inlineStr">
        <is>
          <t>20</t>
        </is>
      </c>
      <c r="C263" s="44" t="inlineStr">
        <is>
          <t>Wrong-Way Salmon</t>
        </is>
      </c>
      <c r="D263" s="44" t="inlineStr">
        <is>
          <t>wrong-way-salmon</t>
        </is>
      </c>
      <c r="E263" s="44" t="n"/>
      <c r="F263" s="44" t="inlineStr">
        <is>
          <t>Uncommon</t>
        </is>
      </c>
      <c r="G263" s="44" t="n">
        <v>0</v>
      </c>
      <c r="H263" s="44" t="n">
        <v>0</v>
      </c>
      <c r="I263" s="44" t="n">
        <v>1</v>
      </c>
      <c r="J263" s="44" t="n">
        <v>3</v>
      </c>
      <c r="K263" s="45" t="inlineStr">
        <is>
          <t>Backstab 2</t>
        </is>
      </c>
      <c r="L263" s="44" t="n"/>
      <c r="M263" s="44" t="inlineStr">
        <is>
          <t>Fish (Aquatic)</t>
        </is>
      </c>
      <c r="N263" s="44" t="inlineStr">
        <is>
          <t>Fish</t>
        </is>
      </c>
      <c r="O263" s="44" t="inlineStr">
        <is>
          <t>Anywhere</t>
        </is>
      </c>
      <c r="P263" s="45" t="inlineStr">
        <is>
          <t>Oddity: one of the Mystery Booster cards</t>
        </is>
      </c>
      <c r="Q263" s="44" t="inlineStr">
        <is>
          <t>Mystery pack</t>
        </is>
      </c>
    </row>
    <row r="264" ht="15" customHeight="1" s="39">
      <c r="A264" s="44" t="inlineStr">
        <is>
          <t>Mystery pack (Map 20 side map)</t>
        </is>
      </c>
      <c r="B264" s="44" t="inlineStr">
        <is>
          <t>20</t>
        </is>
      </c>
      <c r="C264" s="44" t="inlineStr">
        <is>
          <t>Teatime Toad</t>
        </is>
      </c>
      <c r="D264" s="44" t="inlineStr">
        <is>
          <t>teatime-toad</t>
        </is>
      </c>
      <c r="E264" s="44" t="n"/>
      <c r="F264" s="44" t="inlineStr">
        <is>
          <t>Uncommon</t>
        </is>
      </c>
      <c r="G264" s="44" t="n">
        <v>0</v>
      </c>
      <c r="H264" s="44" t="n">
        <v>1</v>
      </c>
      <c r="I264" s="44" t="n">
        <v>1</v>
      </c>
      <c r="J264" s="44" t="n">
        <v>10</v>
      </c>
      <c r="K264" s="45" t="inlineStr">
        <is>
          <t>Regeneration 2</t>
        </is>
      </c>
      <c r="L264" s="44" t="n"/>
      <c r="M264" s="44" t="inlineStr">
        <is>
          <t>Amphibian (Scaled)</t>
        </is>
      </c>
      <c r="N264" s="44" t="inlineStr">
        <is>
          <t>Frog &amp; Toad</t>
        </is>
      </c>
      <c r="O264" s="44" t="inlineStr">
        <is>
          <t>Anywhere</t>
        </is>
      </c>
      <c r="P264" s="45" t="inlineStr">
        <is>
          <t>Oddity: one of the Mystery Booster cards</t>
        </is>
      </c>
      <c r="Q264" s="44" t="inlineStr">
        <is>
          <t>Mystery pack</t>
        </is>
      </c>
    </row>
    <row r="265" ht="15" customHeight="1" s="39">
      <c r="A265" s="44" t="inlineStr">
        <is>
          <t>Mystery pack (Map 20 side map)</t>
        </is>
      </c>
      <c r="B265" s="44" t="inlineStr">
        <is>
          <t>20</t>
        </is>
      </c>
      <c r="C265" s="44" t="inlineStr">
        <is>
          <t>Two-Headed Calf</t>
        </is>
      </c>
      <c r="D265" s="44" t="inlineStr">
        <is>
          <t>two-headed-calf</t>
        </is>
      </c>
      <c r="E265" s="44" t="n"/>
      <c r="F265" s="44" t="inlineStr">
        <is>
          <t>Rare</t>
        </is>
      </c>
      <c r="G265" s="44" t="n">
        <v>1</v>
      </c>
      <c r="H265" s="44" t="n">
        <v>1</v>
      </c>
      <c r="I265" s="44" t="n">
        <v>3</v>
      </c>
      <c r="J265" s="44" t="n">
        <v>10</v>
      </c>
      <c r="K265" s="45" t="inlineStr">
        <is>
          <t>Fork</t>
        </is>
      </c>
      <c r="L265" s="44" t="n"/>
      <c r="M265" s="44" t="inlineStr">
        <is>
          <t>Bovine (Beast)</t>
        </is>
      </c>
      <c r="N265" s="44" t="inlineStr">
        <is>
          <t>Goat &amp; Ox</t>
        </is>
      </c>
      <c r="O265" s="44" t="inlineStr">
        <is>
          <t>Anywhere</t>
        </is>
      </c>
      <c r="P265" s="45" t="inlineStr">
        <is>
          <t>Oddity: one of the Mystery Booster cards</t>
        </is>
      </c>
      <c r="Q265" s="44" t="inlineStr">
        <is>
          <t>Mystery pack</t>
        </is>
      </c>
    </row>
    <row r="266" ht="15" customHeight="1" s="39">
      <c r="A266" s="44" t="inlineStr">
        <is>
          <t>Mystery pack (Map 20 side map)</t>
        </is>
      </c>
      <c r="B266" s="44" t="inlineStr">
        <is>
          <t>20</t>
        </is>
      </c>
      <c r="C266" s="44" t="inlineStr">
        <is>
          <t>Inside-Out Hedgehog</t>
        </is>
      </c>
      <c r="D266" s="44" t="inlineStr">
        <is>
          <t>inside-out-hedgehog</t>
        </is>
      </c>
      <c r="E266" s="44" t="n"/>
      <c r="F266" s="44" t="inlineStr">
        <is>
          <t>Uncommon</t>
        </is>
      </c>
      <c r="G266" s="44" t="n">
        <v>0</v>
      </c>
      <c r="H266" s="44" t="n">
        <v>0</v>
      </c>
      <c r="I266" s="44" t="n">
        <v>1</v>
      </c>
      <c r="J266" s="44" t="n">
        <v>7</v>
      </c>
      <c r="K266" s="45" t="inlineStr">
        <is>
          <t>Armor 2, Thorns 1</t>
        </is>
      </c>
      <c r="L266" s="44" t="n"/>
      <c r="M266" s="44" t="inlineStr">
        <is>
          <t>Erinaceid (Beast)</t>
        </is>
      </c>
      <c r="N266" s="44" t="inlineStr">
        <is>
          <t>Hedgehog</t>
        </is>
      </c>
      <c r="O266" s="44" t="inlineStr">
        <is>
          <t>Anywhere</t>
        </is>
      </c>
      <c r="P266" s="45" t="inlineStr">
        <is>
          <t>Oddity: one of the Mystery Booster cards</t>
        </is>
      </c>
      <c r="Q266" s="44" t="inlineStr">
        <is>
          <t>Mystery pack</t>
        </is>
      </c>
    </row>
    <row r="267" ht="15" customHeight="1" s="39">
      <c r="A267" s="44" t="inlineStr">
        <is>
          <t>Mystery pack (Map 20 side map)</t>
        </is>
      </c>
      <c r="B267" s="44" t="inlineStr">
        <is>
          <t>20</t>
        </is>
      </c>
      <c r="C267" s="44" t="inlineStr">
        <is>
          <t>Mirror Moth</t>
        </is>
      </c>
      <c r="D267" s="44" t="inlineStr">
        <is>
          <t>mirror-moth</t>
        </is>
      </c>
      <c r="E267" s="44" t="n"/>
      <c r="F267" s="44" t="inlineStr">
        <is>
          <t>Rare</t>
        </is>
      </c>
      <c r="G267" s="44" t="n">
        <v>1</v>
      </c>
      <c r="H267" s="44" t="n">
        <v>1</v>
      </c>
      <c r="I267" s="44" t="n">
        <v>2</v>
      </c>
      <c r="J267" s="44" t="n">
        <v>6</v>
      </c>
      <c r="K267" s="45" t="inlineStr">
        <is>
          <t>Flying, Evasive, Reflect 30</t>
        </is>
      </c>
      <c r="L267" s="44" t="n"/>
      <c r="M267" s="44" t="inlineStr">
        <is>
          <t>Insect (Arthropod)</t>
        </is>
      </c>
      <c r="N267" s="44" t="inlineStr">
        <is>
          <t>Moth &amp; Butterfly</t>
        </is>
      </c>
      <c r="O267" s="44" t="inlineStr">
        <is>
          <t>Anywhere</t>
        </is>
      </c>
      <c r="P267" s="45" t="inlineStr">
        <is>
          <t>Oddity: one of the Mystery Booster cards</t>
        </is>
      </c>
      <c r="Q267" s="44" t="inlineStr">
        <is>
          <t>Mystery pack</t>
        </is>
      </c>
    </row>
    <row r="268" ht="15" customHeight="1" s="39">
      <c r="A268" s="44" t="inlineStr">
        <is>
          <t>Mystery pack (Map 20 side map)</t>
        </is>
      </c>
      <c r="B268" s="44" t="inlineStr">
        <is>
          <t>20</t>
        </is>
      </c>
      <c r="C268" s="44" t="inlineStr">
        <is>
          <t>Snail Mail</t>
        </is>
      </c>
      <c r="D268" s="44" t="inlineStr">
        <is>
          <t>snail-mail</t>
        </is>
      </c>
      <c r="E268" s="44" t="n"/>
      <c r="F268" s="44" t="inlineStr">
        <is>
          <t>Uncommon</t>
        </is>
      </c>
      <c r="G268" s="44" t="n">
        <v>0</v>
      </c>
      <c r="H268" s="44" t="n">
        <v>2</v>
      </c>
      <c r="I268" s="44" t="n">
        <v>0</v>
      </c>
      <c r="J268" s="44" t="n">
        <v>8</v>
      </c>
      <c r="K268" s="45" t="inlineStr">
        <is>
          <t>Armor 1, Draw 2</t>
        </is>
      </c>
      <c r="L268" s="44" t="n"/>
      <c r="M268" s="44" t="inlineStr">
        <is>
          <t>Mollusc (Aquatic)</t>
        </is>
      </c>
      <c r="N268" s="44" t="inlineStr">
        <is>
          <t>Snail &amp; Slug</t>
        </is>
      </c>
      <c r="O268" s="44" t="inlineStr">
        <is>
          <t>Anywhere</t>
        </is>
      </c>
      <c r="P268" s="45" t="inlineStr">
        <is>
          <t>Oddity: one of the Mystery Booster cards</t>
        </is>
      </c>
      <c r="Q268" s="44" t="inlineStr">
        <is>
          <t>Mystery pack</t>
        </is>
      </c>
    </row>
    <row r="269" ht="15" customHeight="1" s="39">
      <c r="A269" s="41" t="inlineStr">
        <is>
          <t>Later worlds (kept out of the first world)</t>
        </is>
      </c>
      <c r="B269" s="41" t="n"/>
      <c r="C269" s="41" t="inlineStr">
        <is>
          <t>Triumphvirate</t>
        </is>
      </c>
      <c r="D269" s="41" t="inlineStr">
        <is>
          <t>triumvirate</t>
        </is>
      </c>
      <c r="E269" s="41" t="n"/>
      <c r="F269" s="41" t="inlineStr">
        <is>
          <t>Unique</t>
        </is>
      </c>
      <c r="G269" s="41" t="n">
        <v>3</v>
      </c>
      <c r="H269" s="41" t="n">
        <v>1</v>
      </c>
      <c r="I269" s="41" t="n">
        <v>6</v>
      </c>
      <c r="J269" s="41" t="n">
        <v>22</v>
      </c>
      <c r="K269" s="42" t="inlineStr">
        <is>
          <t>Dictator, Inspiring 2</t>
        </is>
      </c>
      <c r="L269" s="41" t="n"/>
      <c r="M269" s="41" t="inlineStr">
        <is>
          <t>Felid (Beast)</t>
        </is>
      </c>
      <c r="N269" s="41" t="inlineStr">
        <is>
          <t>Cat</t>
        </is>
      </c>
      <c r="O269" s="41" t="inlineStr">
        <is>
          <t>Savanna</t>
        </is>
      </c>
      <c r="P269" s="42" t="inlineStr">
        <is>
          <t>A three-crowned lion that can only lead: a later-world ruler</t>
        </is>
      </c>
      <c r="Q269" s="41" t="inlineStr">
        <is>
          <t>Later world</t>
        </is>
      </c>
    </row>
    <row r="270" ht="15" customHeight="1" s="39">
      <c r="A270" s="41" t="inlineStr">
        <is>
          <t>Later worlds (kept out of the first world)</t>
        </is>
      </c>
      <c r="B270" s="41" t="n"/>
      <c r="C270" s="41" t="inlineStr">
        <is>
          <t>Irradiated Axolotl</t>
        </is>
      </c>
      <c r="D270" s="41" t="inlineStr">
        <is>
          <t>irradiated-axolotl</t>
        </is>
      </c>
      <c r="E270" s="41" t="n"/>
      <c r="F270" s="41" t="inlineStr">
        <is>
          <t>Uncommon</t>
        </is>
      </c>
      <c r="G270" s="41" t="n">
        <v>1</v>
      </c>
      <c r="H270" s="41" t="n">
        <v>1</v>
      </c>
      <c r="I270" s="41" t="n">
        <v>2</v>
      </c>
      <c r="J270" s="41" t="n">
        <v>10</v>
      </c>
      <c r="K270" s="42" t="inlineStr">
        <is>
          <t>Mine (uranium)</t>
        </is>
      </c>
      <c r="L270" s="41" t="n"/>
      <c r="M270" s="41" t="inlineStr">
        <is>
          <t>Amphibian (Scaled)</t>
        </is>
      </c>
      <c r="N270" s="41" t="inlineStr">
        <is>
          <t>Newt &amp; Salamander</t>
        </is>
      </c>
      <c r="O270" s="41" t="inlineStr">
        <is>
          <t>Any</t>
        </is>
      </c>
      <c r="P270" s="42" t="inlineStr">
        <is>
          <t>Alien / irradiated / glitch</t>
        </is>
      </c>
      <c r="Q270" s="41" t="inlineStr">
        <is>
          <t>Later world</t>
        </is>
      </c>
    </row>
    <row r="271" ht="15" customHeight="1" s="39">
      <c r="A271" s="41" t="inlineStr">
        <is>
          <t>Later worlds (kept out of the first world)</t>
        </is>
      </c>
      <c r="B271" s="41" t="n"/>
      <c r="C271" s="41" t="inlineStr">
        <is>
          <t>Irradiated Couatl</t>
        </is>
      </c>
      <c r="D271" s="41" t="inlineStr">
        <is>
          <t>irradiated-couatl</t>
        </is>
      </c>
      <c r="E271" s="41" t="n"/>
      <c r="F271" s="41" t="inlineStr">
        <is>
          <t>Epic</t>
        </is>
      </c>
      <c r="G271" s="41" t="n">
        <v>2</v>
      </c>
      <c r="H271" s="41" t="n">
        <v>3</v>
      </c>
      <c r="I271" s="41" t="n">
        <v>9</v>
      </c>
      <c r="J271" s="41" t="n">
        <v>26</v>
      </c>
      <c r="K271" s="42" t="inlineStr">
        <is>
          <t>Flying</t>
        </is>
      </c>
      <c r="L271" s="41" t="n"/>
      <c r="M271" s="41" t="inlineStr">
        <is>
          <t>Dragon (Scaled)</t>
        </is>
      </c>
      <c r="N271" s="41" t="inlineStr">
        <is>
          <t>Snake</t>
        </is>
      </c>
      <c r="O271" s="41" t="inlineStr">
        <is>
          <t>Any</t>
        </is>
      </c>
      <c r="P271" s="42" t="inlineStr">
        <is>
          <t>Alien / irradiated / glitch</t>
        </is>
      </c>
      <c r="Q271" s="41" t="inlineStr">
        <is>
          <t>Later world</t>
        </is>
      </c>
    </row>
    <row r="272" ht="15" customHeight="1" s="39">
      <c r="A272" s="41" t="inlineStr">
        <is>
          <t>Later worlds (kept out of the first world)</t>
        </is>
      </c>
      <c r="B272" s="41" t="n"/>
      <c r="C272" s="41" t="inlineStr">
        <is>
          <t>Irradiated Glow Wyrm</t>
        </is>
      </c>
      <c r="D272" s="41" t="inlineStr">
        <is>
          <t>irradiated-glow-wyrm</t>
        </is>
      </c>
      <c r="E272" s="41" t="n"/>
      <c r="F272" s="41" t="inlineStr">
        <is>
          <t>Rare</t>
        </is>
      </c>
      <c r="G272" s="41" t="n">
        <v>1</v>
      </c>
      <c r="H272" s="41" t="n">
        <v>2</v>
      </c>
      <c r="I272" s="41" t="n">
        <v>7</v>
      </c>
      <c r="J272" s="41" t="n">
        <v>22</v>
      </c>
      <c r="K272" s="42" t="inlineStr">
        <is>
          <t>Poison 2</t>
        </is>
      </c>
      <c r="L272" s="41" t="n"/>
      <c r="M272" s="41" t="inlineStr">
        <is>
          <t>Annelid (Crawler)</t>
        </is>
      </c>
      <c r="N272" s="41" t="inlineStr">
        <is>
          <t>Worm &amp; Leech</t>
        </is>
      </c>
      <c r="O272" s="41" t="inlineStr">
        <is>
          <t>Any</t>
        </is>
      </c>
      <c r="P272" s="42" t="inlineStr">
        <is>
          <t>Alien / irradiated / glitch</t>
        </is>
      </c>
      <c r="Q272" s="41" t="inlineStr">
        <is>
          <t>Later world</t>
        </is>
      </c>
    </row>
    <row r="273" ht="15" customHeight="1" s="39">
      <c r="A273" s="41" t="inlineStr">
        <is>
          <t>Later worlds (kept out of the first world)</t>
        </is>
      </c>
      <c r="B273" s="41" t="n"/>
      <c r="C273" s="41" t="inlineStr">
        <is>
          <t>MissingNo.</t>
        </is>
      </c>
      <c r="D273" s="41" t="inlineStr">
        <is>
          <t>missingno</t>
        </is>
      </c>
      <c r="E273" s="41" t="n"/>
      <c r="F273" s="41" t="inlineStr">
        <is>
          <t>Unique</t>
        </is>
      </c>
      <c r="G273" s="41" t="n">
        <v>0</v>
      </c>
      <c r="H273" s="41" t="n">
        <v>0</v>
      </c>
      <c r="I273" s="41" t="n">
        <v>3</v>
      </c>
      <c r="J273" s="41" t="n">
        <v>33</v>
      </c>
      <c r="K273" s="42" t="inlineStr">
        <is>
          <t>Evasive</t>
        </is>
      </c>
      <c r="L273" s="41" t="n"/>
      <c r="M273" s="41" t="inlineStr">
        <is>
          <t>Bird</t>
        </is>
      </c>
      <c r="N273" s="41" t="inlineStr">
        <is>
          <t>Glitch</t>
        </is>
      </c>
      <c r="O273" s="41" t="inlineStr">
        <is>
          <t>Any</t>
        </is>
      </c>
      <c r="P273" s="42" t="inlineStr">
        <is>
          <t>Alien / irradiated / glitch. Map 21 (past the first world), not obtainable for now</t>
        </is>
      </c>
      <c r="Q273" s="41" t="inlineStr">
        <is>
          <t>Later world</t>
        </is>
      </c>
    </row>
    <row r="274" ht="23.25" customHeight="1" s="39">
      <c r="A274" s="41" t="inlineStr">
        <is>
          <t>Later worlds (kept out of the first world)</t>
        </is>
      </c>
      <c r="B274" s="41" t="n"/>
      <c r="C274" s="41" t="inlineStr">
        <is>
          <t>Glass Changeling</t>
        </is>
      </c>
      <c r="D274" s="41" t="inlineStr">
        <is>
          <t>glass-changeling</t>
        </is>
      </c>
      <c r="E274" s="41" t="n"/>
      <c r="F274" s="41" t="inlineStr">
        <is>
          <t>Rare</t>
        </is>
      </c>
      <c r="G274" s="41" t="n">
        <v>1</v>
      </c>
      <c r="H274" s="41" t="n">
        <v>1</v>
      </c>
      <c r="I274" s="41" t="n">
        <v>3</v>
      </c>
      <c r="J274" s="41" t="n">
        <v>8</v>
      </c>
      <c r="K274" s="42" t="inlineStr">
        <is>
          <t>Changeling, Flying</t>
        </is>
      </c>
      <c r="L274" s="41" t="n"/>
      <c r="M274" s="41" t="inlineStr">
        <is>
          <t>—</t>
        </is>
      </c>
      <c r="N274" s="41" t="inlineStr">
        <is>
          <t>Changeling</t>
        </is>
      </c>
      <c r="O274" s="41" t="inlineStr">
        <is>
          <t>Any</t>
        </is>
      </c>
      <c r="P274" s="42" t="inlineStr">
        <is>
          <t>Changeling: only one stays in the first world (Puddle Changeling)</t>
        </is>
      </c>
      <c r="Q274" s="41" t="inlineStr">
        <is>
          <t>Later world</t>
        </is>
      </c>
    </row>
    <row r="275" ht="23.25" customHeight="1" s="39">
      <c r="A275" s="41" t="inlineStr">
        <is>
          <t>Later worlds (kept out of the first world)</t>
        </is>
      </c>
      <c r="B275" s="41" t="n"/>
      <c r="C275" s="41" t="inlineStr">
        <is>
          <t>Hedge Changeling</t>
        </is>
      </c>
      <c r="D275" s="41" t="inlineStr">
        <is>
          <t>hedge-changeling</t>
        </is>
      </c>
      <c r="E275" s="41" t="n"/>
      <c r="F275" s="41" t="inlineStr">
        <is>
          <t>Uncommon</t>
        </is>
      </c>
      <c r="G275" s="41" t="n">
        <v>0</v>
      </c>
      <c r="H275" s="41" t="n">
        <v>1</v>
      </c>
      <c r="I275" s="41" t="n">
        <v>3</v>
      </c>
      <c r="J275" s="41" t="n">
        <v>7</v>
      </c>
      <c r="K275" s="42" t="inlineStr">
        <is>
          <t>Changeling, Swarm</t>
        </is>
      </c>
      <c r="L275" s="41" t="n"/>
      <c r="M275" s="41" t="inlineStr">
        <is>
          <t>—</t>
        </is>
      </c>
      <c r="N275" s="41" t="inlineStr">
        <is>
          <t>Changeling</t>
        </is>
      </c>
      <c r="O275" s="41" t="inlineStr">
        <is>
          <t>Any</t>
        </is>
      </c>
      <c r="P275" s="42" t="inlineStr">
        <is>
          <t>Changeling: only one stays in the first world (Puddle Changeling)</t>
        </is>
      </c>
      <c r="Q275" s="41" t="inlineStr">
        <is>
          <t>Later world</t>
        </is>
      </c>
    </row>
    <row r="276" ht="15" customHeight="1" s="39">
      <c r="A276" s="41" t="inlineStr">
        <is>
          <t>Later worlds (kept out of the first world)</t>
        </is>
      </c>
      <c r="B276" s="41" t="n"/>
      <c r="C276" s="41" t="inlineStr">
        <is>
          <t>Ash Imp</t>
        </is>
      </c>
      <c r="D276" s="41" t="inlineStr">
        <is>
          <t>ash-imp</t>
        </is>
      </c>
      <c r="E276" s="41" t="n"/>
      <c r="F276" s="41" t="inlineStr">
        <is>
          <t>Common</t>
        </is>
      </c>
      <c r="G276" s="41" t="n">
        <v>0</v>
      </c>
      <c r="H276" s="41" t="n">
        <v>0</v>
      </c>
      <c r="I276" s="41" t="n">
        <v>1</v>
      </c>
      <c r="J276" s="41" t="n">
        <v>3</v>
      </c>
      <c r="K276" s="42" t="inlineStr">
        <is>
          <t>Sacrifice 2, Devilry on arrival 1</t>
        </is>
      </c>
      <c r="L276" s="41" t="n"/>
      <c r="M276" s="41" t="inlineStr">
        <is>
          <t>Elemental</t>
        </is>
      </c>
      <c r="N276" s="41" t="inlineStr">
        <is>
          <t>Elemental</t>
        </is>
      </c>
      <c r="O276" s="41" t="inlineStr">
        <is>
          <t>Volcano</t>
        </is>
      </c>
      <c r="P276" s="42" t="inlineStr">
        <is>
          <t>Devilry (devils and imps)</t>
        </is>
      </c>
      <c r="Q276" s="41" t="inlineStr">
        <is>
          <t>Later world</t>
        </is>
      </c>
    </row>
    <row r="277" ht="15" customHeight="1" s="39">
      <c r="A277" s="41" t="inlineStr">
        <is>
          <t>Later worlds (kept out of the first world)</t>
        </is>
      </c>
      <c r="B277" s="41" t="n"/>
      <c r="C277" s="41" t="inlineStr">
        <is>
          <t>Blackmass Acolyte</t>
        </is>
      </c>
      <c r="D277" s="41" t="inlineStr">
        <is>
          <t>blackmass-acolyte</t>
        </is>
      </c>
      <c r="E277" s="41" t="n"/>
      <c r="F277" s="41" t="inlineStr">
        <is>
          <t>Uncommon</t>
        </is>
      </c>
      <c r="G277" s="41" t="n">
        <v>0</v>
      </c>
      <c r="H277" s="41" t="n">
        <v>1</v>
      </c>
      <c r="I277" s="41" t="n">
        <v>1</v>
      </c>
      <c r="J277" s="41" t="n">
        <v>6</v>
      </c>
      <c r="K277" s="42" t="inlineStr">
        <is>
          <t>Desecrate 1</t>
        </is>
      </c>
      <c r="L277" s="41" t="n"/>
      <c r="M277" s="41" t="inlineStr">
        <is>
          <t>Elemental</t>
        </is>
      </c>
      <c r="N277" s="41" t="inlineStr">
        <is>
          <t>Elemental</t>
        </is>
      </c>
      <c r="O277" s="41" t="inlineStr">
        <is>
          <t>Any</t>
        </is>
      </c>
      <c r="P277" s="42" t="inlineStr">
        <is>
          <t>Devilry (devils and imps)</t>
        </is>
      </c>
      <c r="Q277" s="41" t="inlineStr">
        <is>
          <t>Later world</t>
        </is>
      </c>
    </row>
    <row r="278" ht="15" customHeight="1" s="39">
      <c r="A278" s="41" t="inlineStr">
        <is>
          <t>Later worlds (kept out of the first world)</t>
        </is>
      </c>
      <c r="B278" s="41" t="n"/>
      <c r="C278" s="41" t="inlineStr">
        <is>
          <t>Brimstone Hound</t>
        </is>
      </c>
      <c r="D278" s="41" t="inlineStr">
        <is>
          <t>brimstone-hound</t>
        </is>
      </c>
      <c r="E278" s="41" t="n"/>
      <c r="F278" s="41" t="inlineStr">
        <is>
          <t>Uncommon</t>
        </is>
      </c>
      <c r="G278" s="41" t="n">
        <v>0</v>
      </c>
      <c r="H278" s="41" t="n">
        <v>1</v>
      </c>
      <c r="I278" s="41" t="n">
        <v>4</v>
      </c>
      <c r="J278" s="41" t="n">
        <v>9</v>
      </c>
      <c r="K278" s="42" t="inlineStr">
        <is>
          <t>Pitchfork</t>
        </is>
      </c>
      <c r="L278" s="41" t="n"/>
      <c r="M278" s="41" t="inlineStr">
        <is>
          <t>Canid (Beast)</t>
        </is>
      </c>
      <c r="N278" s="41" t="inlineStr">
        <is>
          <t>Dog</t>
        </is>
      </c>
      <c r="O278" s="41" t="inlineStr">
        <is>
          <t>Volcano</t>
        </is>
      </c>
      <c r="P278" s="42" t="inlineStr">
        <is>
          <t>Devilry (devils and imps)</t>
        </is>
      </c>
      <c r="Q278" s="41" t="inlineStr">
        <is>
          <t>Later world</t>
        </is>
      </c>
    </row>
    <row r="279" ht="15" customHeight="1" s="39">
      <c r="A279" s="41" t="inlineStr">
        <is>
          <t>Later worlds (kept out of the first world)</t>
        </is>
      </c>
      <c r="B279" s="41" t="n"/>
      <c r="C279" s="41" t="inlineStr">
        <is>
          <t>Cinder Imp</t>
        </is>
      </c>
      <c r="D279" s="41" t="inlineStr">
        <is>
          <t>cinder-imp</t>
        </is>
      </c>
      <c r="E279" s="41" t="n"/>
      <c r="F279" s="41" t="inlineStr">
        <is>
          <t>Common</t>
        </is>
      </c>
      <c r="G279" s="41" t="n">
        <v>0</v>
      </c>
      <c r="H279" s="41" t="n">
        <v>0</v>
      </c>
      <c r="I279" s="41" t="n">
        <v>2</v>
      </c>
      <c r="J279" s="41" t="n">
        <v>3</v>
      </c>
      <c r="K279" s="42" t="inlineStr">
        <is>
          <t>Sacrifice 1</t>
        </is>
      </c>
      <c r="L279" s="41" t="n"/>
      <c r="M279" s="41" t="inlineStr">
        <is>
          <t>Elemental</t>
        </is>
      </c>
      <c r="N279" s="41" t="inlineStr">
        <is>
          <t>Elemental</t>
        </is>
      </c>
      <c r="O279" s="41" t="inlineStr">
        <is>
          <t>Volcano</t>
        </is>
      </c>
      <c r="P279" s="42" t="inlineStr">
        <is>
          <t>Devilry (devils and imps)</t>
        </is>
      </c>
      <c r="Q279" s="41" t="inlineStr">
        <is>
          <t>Later world</t>
        </is>
      </c>
    </row>
    <row r="280" ht="15" customHeight="1" s="39">
      <c r="A280" s="41" t="inlineStr">
        <is>
          <t>Later worlds (kept out of the first world)</t>
        </is>
      </c>
      <c r="B280" s="41" t="n"/>
      <c r="C280" s="41" t="inlineStr">
        <is>
          <t>Dread Bell</t>
        </is>
      </c>
      <c r="D280" s="41" t="inlineStr">
        <is>
          <t>dread-bell</t>
        </is>
      </c>
      <c r="E280" s="41" t="n"/>
      <c r="F280" s="41" t="inlineStr">
        <is>
          <t>Uncommon</t>
        </is>
      </c>
      <c r="G280" s="41" t="n">
        <v>0</v>
      </c>
      <c r="H280" s="41" t="n">
        <v>0</v>
      </c>
      <c r="I280" s="41" t="n">
        <v>0</v>
      </c>
      <c r="J280" s="41" t="n">
        <v>10</v>
      </c>
      <c r="K280" s="42" t="inlineStr">
        <is>
          <t>Toll 1</t>
        </is>
      </c>
      <c r="L280" s="41" t="n"/>
      <c r="M280" s="41" t="inlineStr">
        <is>
          <t>Elemental</t>
        </is>
      </c>
      <c r="N280" s="41" t="inlineStr">
        <is>
          <t>Elemental</t>
        </is>
      </c>
      <c r="O280" s="41" t="inlineStr">
        <is>
          <t>Any</t>
        </is>
      </c>
      <c r="P280" s="42" t="inlineStr">
        <is>
          <t>Devilry (devils and imps)</t>
        </is>
      </c>
      <c r="Q280" s="41" t="inlineStr">
        <is>
          <t>Later world</t>
        </is>
      </c>
    </row>
    <row r="281" ht="15" customHeight="1" s="39">
      <c r="A281" s="41" t="inlineStr">
        <is>
          <t>Later worlds (kept out of the first world)</t>
        </is>
      </c>
      <c r="B281" s="41" t="n"/>
      <c r="C281" s="41" t="inlineStr">
        <is>
          <t>Lurking Dread</t>
        </is>
      </c>
      <c r="D281" s="41" t="inlineStr">
        <is>
          <t>lurking-dread</t>
        </is>
      </c>
      <c r="E281" s="41" t="n"/>
      <c r="F281" s="41" t="inlineStr">
        <is>
          <t>Rare</t>
        </is>
      </c>
      <c r="G281" s="41" t="n">
        <v>1</v>
      </c>
      <c r="H281" s="41" t="n">
        <v>1</v>
      </c>
      <c r="I281" s="41" t="n">
        <v>4</v>
      </c>
      <c r="J281" s="41" t="n">
        <v>9</v>
      </c>
      <c r="K281" s="42" t="inlineStr">
        <is>
          <t>Beware 4, Scare 2, Fade</t>
        </is>
      </c>
      <c r="L281" s="41" t="n"/>
      <c r="M281" s="41" t="inlineStr">
        <is>
          <t>Elemental</t>
        </is>
      </c>
      <c r="N281" s="41" t="inlineStr">
        <is>
          <t>Elemental</t>
        </is>
      </c>
      <c r="O281" s="41" t="inlineStr">
        <is>
          <t>Any</t>
        </is>
      </c>
      <c r="P281" s="42" t="inlineStr">
        <is>
          <t>Devilry (devils and imps)</t>
        </is>
      </c>
      <c r="Q281" s="41" t="inlineStr">
        <is>
          <t>Later world</t>
        </is>
      </c>
    </row>
    <row r="282" ht="15" customHeight="1" s="39">
      <c r="A282" s="41" t="inlineStr">
        <is>
          <t>Later worlds (kept out of the first world)</t>
        </is>
      </c>
      <c r="B282" s="41" t="n"/>
      <c r="C282" s="41" t="inlineStr">
        <is>
          <t>Pit Glutton</t>
        </is>
      </c>
      <c r="D282" s="41" t="inlineStr">
        <is>
          <t>pit-glutton</t>
        </is>
      </c>
      <c r="E282" s="41" t="n"/>
      <c r="F282" s="41" t="inlineStr">
        <is>
          <t>Rare</t>
        </is>
      </c>
      <c r="G282" s="41" t="n">
        <v>1</v>
      </c>
      <c r="H282" s="41" t="n">
        <v>1</v>
      </c>
      <c r="I282" s="41" t="n">
        <v>3</v>
      </c>
      <c r="J282" s="41" t="n">
        <v>9</v>
      </c>
      <c r="K282" s="42" t="inlineStr">
        <is>
          <t>Devour</t>
        </is>
      </c>
      <c r="L282" s="41" t="n"/>
      <c r="M282" s="41" t="inlineStr">
        <is>
          <t>Elemental</t>
        </is>
      </c>
      <c r="N282" s="41" t="inlineStr">
        <is>
          <t>Elemental</t>
        </is>
      </c>
      <c r="O282" s="41" t="inlineStr">
        <is>
          <t>Volcano</t>
        </is>
      </c>
      <c r="P282" s="42" t="inlineStr">
        <is>
          <t>Devilry (devils and imps)</t>
        </is>
      </c>
      <c r="Q282" s="41" t="inlineStr">
        <is>
          <t>Later world</t>
        </is>
      </c>
    </row>
    <row r="283" ht="15" customHeight="1" s="39">
      <c r="A283" s="41" t="inlineStr">
        <is>
          <t>Later worlds (kept out of the first world)</t>
        </is>
      </c>
      <c r="B283" s="41" t="n"/>
      <c r="C283" s="41" t="inlineStr">
        <is>
          <t>Puppeteer Imp</t>
        </is>
      </c>
      <c r="D283" s="41" t="inlineStr">
        <is>
          <t>puppeteer-imp</t>
        </is>
      </c>
      <c r="E283" s="41" t="n"/>
      <c r="F283" s="41" t="inlineStr">
        <is>
          <t>Rare</t>
        </is>
      </c>
      <c r="G283" s="41" t="n">
        <v>0</v>
      </c>
      <c r="H283" s="41" t="n">
        <v>1</v>
      </c>
      <c r="I283" s="41" t="n">
        <v>2</v>
      </c>
      <c r="J283" s="41" t="n">
        <v>6</v>
      </c>
      <c r="K283" s="42" t="inlineStr">
        <is>
          <t>Puppet</t>
        </is>
      </c>
      <c r="L283" s="41" t="n"/>
      <c r="M283" s="41" t="inlineStr">
        <is>
          <t>Elemental</t>
        </is>
      </c>
      <c r="N283" s="41" t="inlineStr">
        <is>
          <t>Elemental</t>
        </is>
      </c>
      <c r="O283" s="41" t="inlineStr">
        <is>
          <t>Any</t>
        </is>
      </c>
      <c r="P283" s="42" t="inlineStr">
        <is>
          <t>Devilry (devils and imps)</t>
        </is>
      </c>
      <c r="Q283" s="41" t="inlineStr">
        <is>
          <t>Later world</t>
        </is>
      </c>
    </row>
    <row r="284" ht="15" customHeight="1" s="39">
      <c r="A284" s="41" t="inlineStr">
        <is>
          <t>Later worlds (kept out of the first world)</t>
        </is>
      </c>
      <c r="B284" s="41" t="n"/>
      <c r="C284" s="41" t="inlineStr">
        <is>
          <t>The Sixfold</t>
        </is>
      </c>
      <c r="D284" s="41" t="inlineStr">
        <is>
          <t>the-sixfold</t>
        </is>
      </c>
      <c r="E284" s="41" t="n"/>
      <c r="F284" s="41" t="inlineStr">
        <is>
          <t>Epic</t>
        </is>
      </c>
      <c r="G284" s="41" t="n">
        <v>0</v>
      </c>
      <c r="H284" s="41" t="n">
        <v>0</v>
      </c>
      <c r="I284" s="41" t="n">
        <v>8</v>
      </c>
      <c r="J284" s="41" t="n">
        <v>20</v>
      </c>
      <c r="K284" s="42" t="inlineStr">
        <is>
          <t>Ritual</t>
        </is>
      </c>
      <c r="L284" s="41" t="n"/>
      <c r="M284" s="41" t="inlineStr">
        <is>
          <t>Elemental</t>
        </is>
      </c>
      <c r="N284" s="41" t="inlineStr">
        <is>
          <t>Elemental</t>
        </is>
      </c>
      <c r="O284" s="41" t="inlineStr">
        <is>
          <t>Any</t>
        </is>
      </c>
      <c r="P284" s="42" t="inlineStr">
        <is>
          <t>Devilry (devils and imps)</t>
        </is>
      </c>
      <c r="Q284" s="41" t="inlineStr">
        <is>
          <t>Later world</t>
        </is>
      </c>
    </row>
    <row r="285" ht="15" customHeight="1" s="39">
      <c r="A285" s="41" t="inlineStr">
        <is>
          <t>Later worlds (kept out of the first world)</t>
        </is>
      </c>
      <c r="B285" s="41" t="n"/>
      <c r="C285" s="41" t="inlineStr">
        <is>
          <t>Tithe Collector</t>
        </is>
      </c>
      <c r="D285" s="41" t="inlineStr">
        <is>
          <t>tithe-collector</t>
        </is>
      </c>
      <c r="E285" s="41" t="n"/>
      <c r="F285" s="41" t="inlineStr">
        <is>
          <t>Uncommon</t>
        </is>
      </c>
      <c r="G285" s="41" t="n">
        <v>0</v>
      </c>
      <c r="H285" s="41" t="n">
        <v>1</v>
      </c>
      <c r="I285" s="41" t="n">
        <v>5</v>
      </c>
      <c r="J285" s="41" t="n">
        <v>8</v>
      </c>
      <c r="K285" s="42" t="inlineStr">
        <is>
          <t>—</t>
        </is>
      </c>
      <c r="L285" s="41" t="n"/>
      <c r="M285" s="41" t="inlineStr">
        <is>
          <t>Elemental</t>
        </is>
      </c>
      <c r="N285" s="41" t="inlineStr">
        <is>
          <t>Elemental</t>
        </is>
      </c>
      <c r="O285" s="41" t="inlineStr">
        <is>
          <t>Any</t>
        </is>
      </c>
      <c r="P285" s="42" t="inlineStr">
        <is>
          <t>Devilry (devils and imps)</t>
        </is>
      </c>
      <c r="Q285" s="41" t="inlineStr">
        <is>
          <t>Later world</t>
        </is>
      </c>
    </row>
    <row r="286" ht="15" customHeight="1" s="39">
      <c r="A286" s="41" t="inlineStr">
        <is>
          <t>Later worlds (kept out of the first world)</t>
        </is>
      </c>
      <c r="B286" s="41" t="n"/>
      <c r="C286" s="41" t="inlineStr">
        <is>
          <t>Fire Drake Hatchling</t>
        </is>
      </c>
      <c r="D286" s="41" t="inlineStr">
        <is>
          <t>fire-drake-hatchling</t>
        </is>
      </c>
      <c r="E286" s="41" t="n"/>
      <c r="F286" s="41" t="inlineStr">
        <is>
          <t>Common</t>
        </is>
      </c>
      <c r="G286" s="41" t="n">
        <v>2</v>
      </c>
      <c r="H286" s="41" t="n">
        <v>2</v>
      </c>
      <c r="I286" s="41" t="n">
        <v>6</v>
      </c>
      <c r="J286" s="41" t="n">
        <v>13</v>
      </c>
      <c r="K286" s="42" t="inlineStr">
        <is>
          <t>Fire Arrow 2</t>
        </is>
      </c>
      <c r="L286" s="41" t="n"/>
      <c r="M286" s="41" t="inlineStr">
        <is>
          <t>Dragon (Scaled)</t>
        </is>
      </c>
      <c r="N286" s="41" t="inlineStr">
        <is>
          <t>Dragon &amp; Wyrm</t>
        </is>
      </c>
      <c r="O286" s="41" t="inlineStr">
        <is>
          <t>Volcano</t>
        </is>
      </c>
      <c r="P286" s="42" t="inlineStr">
        <is>
          <t>Dragon or wyrm: kept for the dragon worlds</t>
        </is>
      </c>
      <c r="Q286" s="41" t="inlineStr">
        <is>
          <t>Later world</t>
        </is>
      </c>
    </row>
    <row r="287" ht="15" customHeight="1" s="39">
      <c r="A287" s="41" t="inlineStr">
        <is>
          <t>Later worlds (kept out of the first world)</t>
        </is>
      </c>
      <c r="B287" s="41" t="n"/>
      <c r="C287" s="41" t="inlineStr">
        <is>
          <t>Gorge Wyrm</t>
        </is>
      </c>
      <c r="D287" s="41" t="inlineStr">
        <is>
          <t>gorge-wyrm</t>
        </is>
      </c>
      <c r="E287" s="41" t="n"/>
      <c r="F287" s="41" t="inlineStr">
        <is>
          <t>Common</t>
        </is>
      </c>
      <c r="G287" s="41" t="n">
        <v>3</v>
      </c>
      <c r="H287" s="41" t="n">
        <v>4</v>
      </c>
      <c r="I287" s="41" t="n">
        <v>9</v>
      </c>
      <c r="J287" s="41" t="n">
        <v>45</v>
      </c>
      <c r="K287" s="42" t="inlineStr">
        <is>
          <t>Cleave 1, Bounty 1, Earthquake 3</t>
        </is>
      </c>
      <c r="L287" s="41" t="n"/>
      <c r="M287" s="41" t="inlineStr">
        <is>
          <t>Dragon (Scaled)</t>
        </is>
      </c>
      <c r="N287" s="41" t="inlineStr">
        <is>
          <t>Dragon &amp; Wyrm</t>
        </is>
      </c>
      <c r="O287" s="41" t="inlineStr">
        <is>
          <t>Any</t>
        </is>
      </c>
      <c r="P287" s="42" t="inlineStr">
        <is>
          <t>Dragon or wyrm: kept for the dragon worlds</t>
        </is>
      </c>
      <c r="Q287" s="41" t="inlineStr">
        <is>
          <t>Later world</t>
        </is>
      </c>
    </row>
    <row r="288" ht="15" customHeight="1" s="39">
      <c r="A288" s="41" t="inlineStr">
        <is>
          <t>Later worlds (kept out of the first world)</t>
        </is>
      </c>
      <c r="B288" s="41" t="n"/>
      <c r="C288" s="41" t="inlineStr">
        <is>
          <t>Pyroclast Wyrm</t>
        </is>
      </c>
      <c r="D288" s="41" t="inlineStr">
        <is>
          <t>pyroclast-wyrm</t>
        </is>
      </c>
      <c r="E288" s="41" t="n"/>
      <c r="F288" s="41" t="inlineStr">
        <is>
          <t>Common</t>
        </is>
      </c>
      <c r="G288" s="41" t="n">
        <v>3</v>
      </c>
      <c r="H288" s="41" t="n">
        <v>2</v>
      </c>
      <c r="I288" s="41" t="n">
        <v>7</v>
      </c>
      <c r="J288" s="41" t="n">
        <v>16</v>
      </c>
      <c r="K288" s="42" t="inlineStr">
        <is>
          <t>Pierce 5, Fire Arrow 2</t>
        </is>
      </c>
      <c r="L288" s="41" t="n"/>
      <c r="M288" s="41" t="inlineStr">
        <is>
          <t>Dragon (Scaled)</t>
        </is>
      </c>
      <c r="N288" s="41" t="inlineStr">
        <is>
          <t>Dragon &amp; Wyrm</t>
        </is>
      </c>
      <c r="O288" s="41" t="inlineStr">
        <is>
          <t>Volcano</t>
        </is>
      </c>
      <c r="P288" s="42" t="inlineStr">
        <is>
          <t>Dragon or wyrm: kept for the dragon worlds</t>
        </is>
      </c>
      <c r="Q288" s="41" t="inlineStr">
        <is>
          <t>Later world</t>
        </is>
      </c>
    </row>
    <row r="289" ht="15" customHeight="1" s="39">
      <c r="A289" s="41" t="inlineStr">
        <is>
          <t>Later worlds (kept out of the first world)</t>
        </is>
      </c>
      <c r="B289" s="41" t="n"/>
      <c r="C289" s="41" t="inlineStr">
        <is>
          <t>Tunnel Wyrm</t>
        </is>
      </c>
      <c r="D289" s="41" t="inlineStr">
        <is>
          <t>tunnel-wyrm</t>
        </is>
      </c>
      <c r="E289" s="41" t="n"/>
      <c r="F289" s="41" t="inlineStr">
        <is>
          <t>Uncommon</t>
        </is>
      </c>
      <c r="G289" s="41" t="n">
        <v>1</v>
      </c>
      <c r="H289" s="41" t="n">
        <v>2</v>
      </c>
      <c r="I289" s="41" t="n">
        <v>4</v>
      </c>
      <c r="J289" s="41" t="n">
        <v>16</v>
      </c>
      <c r="K289" s="42" t="inlineStr">
        <is>
          <t>Bounty 1</t>
        </is>
      </c>
      <c r="L289" s="41" t="n"/>
      <c r="M289" s="41" t="inlineStr">
        <is>
          <t>Dragon (Scaled)</t>
        </is>
      </c>
      <c r="N289" s="41" t="inlineStr">
        <is>
          <t>Dragon &amp; Wyrm</t>
        </is>
      </c>
      <c r="O289" s="41" t="inlineStr">
        <is>
          <t>Any</t>
        </is>
      </c>
      <c r="P289" s="42" t="inlineStr">
        <is>
          <t>Dragon or wyrm: kept for the dragon worlds</t>
        </is>
      </c>
      <c r="Q289" s="41" t="inlineStr">
        <is>
          <t>Later world</t>
        </is>
      </c>
    </row>
    <row r="290" ht="15" customHeight="1" s="39">
      <c r="A290" s="41" t="inlineStr">
        <is>
          <t>Later worlds (kept out of the first world)</t>
        </is>
      </c>
      <c r="B290" s="41" t="n"/>
      <c r="C290" s="41" t="inlineStr">
        <is>
          <t>Abbey Goose</t>
        </is>
      </c>
      <c r="D290" s="41" t="inlineStr">
        <is>
          <t>abbey-goose</t>
        </is>
      </c>
      <c r="E290" s="41" t="n"/>
      <c r="F290" s="41" t="inlineStr">
        <is>
          <t>Uncommon</t>
        </is>
      </c>
      <c r="G290" s="41" t="n">
        <v>0</v>
      </c>
      <c r="H290" s="41" t="n">
        <v>1</v>
      </c>
      <c r="I290" s="41" t="n">
        <v>2</v>
      </c>
      <c r="J290" s="41" t="n">
        <v>7</v>
      </c>
      <c r="K290" s="42" t="inlineStr">
        <is>
          <t>Healing 2</t>
        </is>
      </c>
      <c r="L290" s="41" t="n"/>
      <c r="M290" s="41" t="inlineStr">
        <is>
          <t>Bird</t>
        </is>
      </c>
      <c r="N290" s="41" t="inlineStr">
        <is>
          <t>Duck &amp; Goose</t>
        </is>
      </c>
      <c r="O290" s="41" t="inlineStr">
        <is>
          <t>Any</t>
        </is>
      </c>
      <c r="P290" s="42" t="inlineStr">
        <is>
          <t>Ecclesia (shrine and prayer cards)</t>
        </is>
      </c>
      <c r="Q290" s="41" t="inlineStr">
        <is>
          <t>Later world</t>
        </is>
      </c>
    </row>
    <row r="291" ht="15" customHeight="1" s="39">
      <c r="A291" s="41" t="inlineStr">
        <is>
          <t>Later worlds (kept out of the first world)</t>
        </is>
      </c>
      <c r="B291" s="41" t="n"/>
      <c r="C291" s="41" t="inlineStr">
        <is>
          <t>Blessed Avatar</t>
        </is>
      </c>
      <c r="D291" s="41" t="inlineStr">
        <is>
          <t>blessed-avatar</t>
        </is>
      </c>
      <c r="E291" s="41" t="n"/>
      <c r="F291" s="41" t="inlineStr">
        <is>
          <t>Common</t>
        </is>
      </c>
      <c r="G291" s="41" t="n">
        <v>0</v>
      </c>
      <c r="H291" s="41" t="n">
        <v>2</v>
      </c>
      <c r="I291" s="41" t="n">
        <v>6</v>
      </c>
      <c r="J291" s="41" t="n">
        <v>20</v>
      </c>
      <c r="K291" s="42" t="inlineStr">
        <is>
          <t>—</t>
        </is>
      </c>
      <c r="L291" s="41" t="n"/>
      <c r="M291" s="41" t="inlineStr">
        <is>
          <t>Elemental</t>
        </is>
      </c>
      <c r="N291" s="41" t="inlineStr">
        <is>
          <t>Elemental</t>
        </is>
      </c>
      <c r="O291" s="41" t="inlineStr">
        <is>
          <t>Any</t>
        </is>
      </c>
      <c r="P291" s="42" t="inlineStr">
        <is>
          <t>Ecclesia (shrine and prayer cards)</t>
        </is>
      </c>
      <c r="Q291" s="41" t="inlineStr">
        <is>
          <t>Later world</t>
        </is>
      </c>
    </row>
    <row r="292" ht="15" customHeight="1" s="39">
      <c r="A292" s="41" t="inlineStr">
        <is>
          <t>Later worlds (kept out of the first world)</t>
        </is>
      </c>
      <c r="B292" s="41" t="n"/>
      <c r="C292" s="41" t="inlineStr">
        <is>
          <t>Candle Moth</t>
        </is>
      </c>
      <c r="D292" s="41" t="inlineStr">
        <is>
          <t>candle-moth</t>
        </is>
      </c>
      <c r="E292" s="41" t="n"/>
      <c r="F292" s="41" t="inlineStr">
        <is>
          <t>Common</t>
        </is>
      </c>
      <c r="G292" s="41" t="n">
        <v>0</v>
      </c>
      <c r="H292" s="41" t="n">
        <v>0</v>
      </c>
      <c r="I292" s="41" t="n">
        <v>1</v>
      </c>
      <c r="J292" s="41" t="n">
        <v>4</v>
      </c>
      <c r="K292" s="42" t="inlineStr">
        <is>
          <t>Prayer 1, Flying</t>
        </is>
      </c>
      <c r="L292" s="41" t="n"/>
      <c r="M292" s="41" t="inlineStr">
        <is>
          <t>Insect (Arthropod)</t>
        </is>
      </c>
      <c r="N292" s="41" t="inlineStr">
        <is>
          <t>Moth &amp; Butterfly</t>
        </is>
      </c>
      <c r="O292" s="41" t="inlineStr">
        <is>
          <t>Any</t>
        </is>
      </c>
      <c r="P292" s="42" t="inlineStr">
        <is>
          <t>Ecclesia (shrine and prayer cards)</t>
        </is>
      </c>
      <c r="Q292" s="41" t="inlineStr">
        <is>
          <t>Later world</t>
        </is>
      </c>
    </row>
    <row r="293" ht="15" customHeight="1" s="39">
      <c r="A293" s="41" t="inlineStr">
        <is>
          <t>Later worlds (kept out of the first world)</t>
        </is>
      </c>
      <c r="B293" s="41" t="n"/>
      <c r="C293" s="41" t="inlineStr">
        <is>
          <t>Cathedral Eagle</t>
        </is>
      </c>
      <c r="D293" s="41" t="inlineStr">
        <is>
          <t>cathedral-eagle</t>
        </is>
      </c>
      <c r="E293" s="41" t="n"/>
      <c r="F293" s="41" t="inlineStr">
        <is>
          <t>Legendary</t>
        </is>
      </c>
      <c r="G293" s="41" t="n">
        <v>0</v>
      </c>
      <c r="H293" s="41" t="n">
        <v>1</v>
      </c>
      <c r="I293" s="41" t="n">
        <v>5</v>
      </c>
      <c r="J293" s="41" t="n">
        <v>14</v>
      </c>
      <c r="K293" s="42" t="inlineStr">
        <is>
          <t>Worship, Flying, Prayer 1</t>
        </is>
      </c>
      <c r="L293" s="41" t="n"/>
      <c r="M293" s="41" t="inlineStr">
        <is>
          <t>Bird</t>
        </is>
      </c>
      <c r="N293" s="41" t="inlineStr">
        <is>
          <t>Eagle &amp; Hawk</t>
        </is>
      </c>
      <c r="O293" s="41" t="inlineStr">
        <is>
          <t>Any</t>
        </is>
      </c>
      <c r="P293" s="42" t="inlineStr">
        <is>
          <t>Ecclesia (shrine and prayer cards)</t>
        </is>
      </c>
      <c r="Q293" s="41" t="inlineStr">
        <is>
          <t>Later world</t>
        </is>
      </c>
    </row>
    <row r="294" ht="15" customHeight="1" s="39">
      <c r="A294" s="41" t="inlineStr">
        <is>
          <t>Later worlds (kept out of the first world)</t>
        </is>
      </c>
      <c r="B294" s="41" t="n"/>
      <c r="C294" s="41" t="inlineStr">
        <is>
          <t>Chapel Sparrow</t>
        </is>
      </c>
      <c r="D294" s="41" t="inlineStr">
        <is>
          <t>chapel-sparrow</t>
        </is>
      </c>
      <c r="E294" s="41" t="n"/>
      <c r="F294" s="41" t="inlineStr">
        <is>
          <t>Common</t>
        </is>
      </c>
      <c r="G294" s="41" t="n">
        <v>0</v>
      </c>
      <c r="H294" s="41" t="n">
        <v>0</v>
      </c>
      <c r="I294" s="41" t="n">
        <v>2</v>
      </c>
      <c r="J294" s="41" t="n">
        <v>3</v>
      </c>
      <c r="K294" s="42" t="inlineStr">
        <is>
          <t>Prayer 1, Flying</t>
        </is>
      </c>
      <c r="L294" s="41" t="n"/>
      <c r="M294" s="41" t="inlineStr">
        <is>
          <t>Bird</t>
        </is>
      </c>
      <c r="N294" s="41" t="inlineStr">
        <is>
          <t>Songbird</t>
        </is>
      </c>
      <c r="O294" s="41" t="inlineStr">
        <is>
          <t>Any</t>
        </is>
      </c>
      <c r="P294" s="42" t="inlineStr">
        <is>
          <t>Ecclesia (shrine and prayer cards)</t>
        </is>
      </c>
      <c r="Q294" s="41" t="inlineStr">
        <is>
          <t>Later world</t>
        </is>
      </c>
    </row>
    <row r="295" ht="15" customHeight="1" s="39">
      <c r="A295" s="41" t="inlineStr">
        <is>
          <t>Later worlds (kept out of the first world)</t>
        </is>
      </c>
      <c r="B295" s="41" t="n"/>
      <c r="C295" s="41" t="inlineStr">
        <is>
          <t>Friar Badger</t>
        </is>
      </c>
      <c r="D295" s="41" t="inlineStr">
        <is>
          <t>friar-badger</t>
        </is>
      </c>
      <c r="E295" s="41" t="n"/>
      <c r="F295" s="41" t="inlineStr">
        <is>
          <t>Uncommon</t>
        </is>
      </c>
      <c r="G295" s="41" t="n">
        <v>0</v>
      </c>
      <c r="H295" s="41" t="n">
        <v>1</v>
      </c>
      <c r="I295" s="41" t="n">
        <v>3</v>
      </c>
      <c r="J295" s="41" t="n">
        <v>10</v>
      </c>
      <c r="K295" s="42" t="inlineStr">
        <is>
          <t>Satiety 1</t>
        </is>
      </c>
      <c r="L295" s="41" t="n"/>
      <c r="M295" s="41" t="inlineStr">
        <is>
          <t>Mustelid (Beast)</t>
        </is>
      </c>
      <c r="N295" s="41" t="inlineStr">
        <is>
          <t>Badger</t>
        </is>
      </c>
      <c r="O295" s="41" t="inlineStr">
        <is>
          <t>Any</t>
        </is>
      </c>
      <c r="P295" s="42" t="inlineStr">
        <is>
          <t>Ecclesia (shrine and prayer cards)</t>
        </is>
      </c>
      <c r="Q295" s="41" t="inlineStr">
        <is>
          <t>Later world</t>
        </is>
      </c>
    </row>
    <row r="296" ht="15" customHeight="1" s="39">
      <c r="A296" s="41" t="inlineStr">
        <is>
          <t>Later worlds (kept out of the first world)</t>
        </is>
      </c>
      <c r="B296" s="41" t="n"/>
      <c r="C296" s="41" t="inlineStr">
        <is>
          <t>Golden Magpie</t>
        </is>
      </c>
      <c r="D296" s="41" t="inlineStr">
        <is>
          <t>golden-magpie</t>
        </is>
      </c>
      <c r="E296" s="41" t="n"/>
      <c r="F296" s="41" t="inlineStr">
        <is>
          <t>Uncommon</t>
        </is>
      </c>
      <c r="G296" s="41" t="n">
        <v>0</v>
      </c>
      <c r="H296" s="41" t="n">
        <v>0</v>
      </c>
      <c r="I296" s="41" t="n">
        <v>2</v>
      </c>
      <c r="J296" s="41" t="n">
        <v>5</v>
      </c>
      <c r="K296" s="42" t="inlineStr">
        <is>
          <t>Midas Touch 2, Flying</t>
        </is>
      </c>
      <c r="L296" s="41" t="n"/>
      <c r="M296" s="41" t="inlineStr">
        <is>
          <t>Bird</t>
        </is>
      </c>
      <c r="N296" s="41" t="inlineStr">
        <is>
          <t>Raven &amp; Crow</t>
        </is>
      </c>
      <c r="O296" s="41" t="inlineStr">
        <is>
          <t>Any</t>
        </is>
      </c>
      <c r="P296" s="42" t="inlineStr">
        <is>
          <t>Ecclesia (shrine and prayer cards)</t>
        </is>
      </c>
      <c r="Q296" s="41" t="inlineStr">
        <is>
          <t>Later world</t>
        </is>
      </c>
    </row>
    <row r="297" ht="15" customHeight="1" s="39">
      <c r="A297" s="41" t="inlineStr">
        <is>
          <t>Later worlds (kept out of the first world)</t>
        </is>
      </c>
      <c r="B297" s="41" t="n"/>
      <c r="C297" s="41" t="inlineStr">
        <is>
          <t>Hymn Wren</t>
        </is>
      </c>
      <c r="D297" s="41" t="inlineStr">
        <is>
          <t>hymn-wren</t>
        </is>
      </c>
      <c r="E297" s="41" t="n"/>
      <c r="F297" s="41" t="inlineStr">
        <is>
          <t>Common</t>
        </is>
      </c>
      <c r="G297" s="41" t="n">
        <v>0</v>
      </c>
      <c r="H297" s="41" t="n">
        <v>0</v>
      </c>
      <c r="I297" s="41" t="n">
        <v>2</v>
      </c>
      <c r="J297" s="41" t="n">
        <v>5</v>
      </c>
      <c r="K297" s="42" t="inlineStr">
        <is>
          <t>Worship</t>
        </is>
      </c>
      <c r="L297" s="41" t="n"/>
      <c r="M297" s="41" t="inlineStr">
        <is>
          <t>Bird</t>
        </is>
      </c>
      <c r="N297" s="41" t="inlineStr">
        <is>
          <t>Songbird</t>
        </is>
      </c>
      <c r="O297" s="41" t="inlineStr">
        <is>
          <t>Any</t>
        </is>
      </c>
      <c r="P297" s="42" t="inlineStr">
        <is>
          <t>Ecclesia (shrine and prayer cards)</t>
        </is>
      </c>
      <c r="Q297" s="41" t="inlineStr">
        <is>
          <t>Later world</t>
        </is>
      </c>
    </row>
    <row r="298" ht="15" customHeight="1" s="39">
      <c r="A298" s="41" t="inlineStr">
        <is>
          <t>Later worlds (kept out of the first world)</t>
        </is>
      </c>
      <c r="B298" s="41" t="n"/>
      <c r="C298" s="41" t="inlineStr">
        <is>
          <t>Shimmerwing Stag</t>
        </is>
      </c>
      <c r="D298" s="41" t="inlineStr">
        <is>
          <t>shimmerwing-stag</t>
        </is>
      </c>
      <c r="E298" s="41" t="n"/>
      <c r="F298" s="41" t="inlineStr">
        <is>
          <t>Rare</t>
        </is>
      </c>
      <c r="G298" s="41" t="n">
        <v>2</v>
      </c>
      <c r="H298" s="41" t="n">
        <v>2</v>
      </c>
      <c r="I298" s="41" t="n">
        <v>6</v>
      </c>
      <c r="J298" s="41" t="n">
        <v>18</v>
      </c>
      <c r="K298" s="42" t="inlineStr">
        <is>
          <t>Evasive</t>
        </is>
      </c>
      <c r="L298" s="41" t="n"/>
      <c r="M298" s="41" t="inlineStr">
        <is>
          <t>Cervid (Beast)</t>
        </is>
      </c>
      <c r="N298" s="41" t="inlineStr">
        <is>
          <t>Deer &amp; Elk</t>
        </is>
      </c>
      <c r="O298" s="41" t="inlineStr">
        <is>
          <t>Any</t>
        </is>
      </c>
      <c r="P298" s="42" t="inlineStr">
        <is>
          <t>Ecclesia (shrine and prayer cards)</t>
        </is>
      </c>
      <c r="Q298" s="41" t="inlineStr">
        <is>
          <t>Later world</t>
        </is>
      </c>
    </row>
    <row r="299" ht="15" customHeight="1" s="39">
      <c r="A299" s="41" t="inlineStr">
        <is>
          <t>Later worlds (kept out of the first world)</t>
        </is>
      </c>
      <c r="B299" s="41" t="n"/>
      <c r="C299" s="41" t="inlineStr">
        <is>
          <t>Shrine Acolyte</t>
        </is>
      </c>
      <c r="D299" s="41" t="inlineStr">
        <is>
          <t>shrine-acolyte</t>
        </is>
      </c>
      <c r="E299" s="41" t="n"/>
      <c r="F299" s="41" t="inlineStr">
        <is>
          <t>Common</t>
        </is>
      </c>
      <c r="G299" s="41" t="n">
        <v>0</v>
      </c>
      <c r="H299" s="41" t="n">
        <v>1</v>
      </c>
      <c r="I299" s="41" t="n">
        <v>2</v>
      </c>
      <c r="J299" s="41" t="n">
        <v>8</v>
      </c>
      <c r="K299" s="42" t="inlineStr">
        <is>
          <t>Prayer 1</t>
        </is>
      </c>
      <c r="L299" s="41" t="n"/>
      <c r="M299" s="41" t="inlineStr">
        <is>
          <t>Elemental</t>
        </is>
      </c>
      <c r="N299" s="41" t="inlineStr">
        <is>
          <t>Elemental</t>
        </is>
      </c>
      <c r="O299" s="41" t="inlineStr">
        <is>
          <t>Any</t>
        </is>
      </c>
      <c r="P299" s="42" t="inlineStr">
        <is>
          <t>Ecclesia (shrine and prayer cards)</t>
        </is>
      </c>
      <c r="Q299" s="41" t="inlineStr">
        <is>
          <t>Later world</t>
        </is>
      </c>
    </row>
    <row r="300" ht="15" customHeight="1" s="39">
      <c r="A300" s="41" t="inlineStr">
        <is>
          <t>Later worlds (kept out of the first world)</t>
        </is>
      </c>
      <c r="B300" s="41" t="n"/>
      <c r="C300" s="41" t="inlineStr">
        <is>
          <t>Shrine Bell-Ringer</t>
        </is>
      </c>
      <c r="D300" s="41" t="inlineStr">
        <is>
          <t>shrine-bell-ringer</t>
        </is>
      </c>
      <c r="E300" s="41" t="n"/>
      <c r="F300" s="41" t="inlineStr">
        <is>
          <t>Common</t>
        </is>
      </c>
      <c r="G300" s="41" t="n">
        <v>1</v>
      </c>
      <c r="H300" s="41" t="n">
        <v>1</v>
      </c>
      <c r="I300" s="41" t="n">
        <v>3</v>
      </c>
      <c r="J300" s="41" t="n">
        <v>12</v>
      </c>
      <c r="K300" s="42" t="inlineStr">
        <is>
          <t>Prayer 1</t>
        </is>
      </c>
      <c r="L300" s="41" t="n"/>
      <c r="M300" s="41" t="inlineStr">
        <is>
          <t>Elemental</t>
        </is>
      </c>
      <c r="N300" s="41" t="inlineStr">
        <is>
          <t>Elemental</t>
        </is>
      </c>
      <c r="O300" s="41" t="inlineStr">
        <is>
          <t>Any</t>
        </is>
      </c>
      <c r="P300" s="42" t="inlineStr">
        <is>
          <t>Ecclesia (shrine and prayer cards)</t>
        </is>
      </c>
      <c r="Q300" s="41" t="inlineStr">
        <is>
          <t>Later world</t>
        </is>
      </c>
    </row>
    <row r="301" ht="15" customHeight="1" s="39">
      <c r="A301" s="41" t="inlineStr">
        <is>
          <t>Later worlds (kept out of the first world)</t>
        </is>
      </c>
      <c r="B301" s="41" t="n"/>
      <c r="C301" s="41" t="inlineStr">
        <is>
          <t>Shrine High Priest</t>
        </is>
      </c>
      <c r="D301" s="41" t="inlineStr">
        <is>
          <t>shrine-high-priest</t>
        </is>
      </c>
      <c r="E301" s="41" t="n"/>
      <c r="F301" s="41" t="inlineStr">
        <is>
          <t>Common</t>
        </is>
      </c>
      <c r="G301" s="41" t="n">
        <v>1</v>
      </c>
      <c r="H301" s="41" t="n">
        <v>1</v>
      </c>
      <c r="I301" s="41" t="n">
        <v>3</v>
      </c>
      <c r="J301" s="41" t="n">
        <v>14</v>
      </c>
      <c r="K301" s="42" t="inlineStr">
        <is>
          <t>Prayer 2</t>
        </is>
      </c>
      <c r="L301" s="41" t="n"/>
      <c r="M301" s="41" t="inlineStr">
        <is>
          <t>Elemental</t>
        </is>
      </c>
      <c r="N301" s="41" t="inlineStr">
        <is>
          <t>Elemental</t>
        </is>
      </c>
      <c r="O301" s="41" t="inlineStr">
        <is>
          <t>Any</t>
        </is>
      </c>
      <c r="P301" s="42" t="inlineStr">
        <is>
          <t>Ecclesia (shrine and prayer cards)</t>
        </is>
      </c>
      <c r="Q301" s="41" t="inlineStr">
        <is>
          <t>Later world</t>
        </is>
      </c>
    </row>
    <row r="302" ht="15" customHeight="1" s="39">
      <c r="A302" s="41" t="inlineStr">
        <is>
          <t>Later worlds (kept out of the first world)</t>
        </is>
      </c>
      <c r="B302" s="41" t="n"/>
      <c r="C302" s="41" t="inlineStr">
        <is>
          <t>Storm Heron</t>
        </is>
      </c>
      <c r="D302" s="41" t="inlineStr">
        <is>
          <t>storm-heron</t>
        </is>
      </c>
      <c r="E302" s="41" t="n"/>
      <c r="F302" s="41" t="inlineStr">
        <is>
          <t>Rare</t>
        </is>
      </c>
      <c r="G302" s="41" t="n">
        <v>0</v>
      </c>
      <c r="H302" s="41" t="n">
        <v>1</v>
      </c>
      <c r="I302" s="41" t="n">
        <v>3</v>
      </c>
      <c r="J302" s="41" t="n">
        <v>7</v>
      </c>
      <c r="K302" s="42" t="inlineStr">
        <is>
          <t>Lightning 3</t>
        </is>
      </c>
      <c r="L302" s="41" t="n"/>
      <c r="M302" s="41" t="inlineStr">
        <is>
          <t>Bird &amp; Elemental</t>
        </is>
      </c>
      <c r="N302" s="41" t="inlineStr">
        <is>
          <t>Waterbird</t>
        </is>
      </c>
      <c r="O302" s="41" t="inlineStr">
        <is>
          <t>Any</t>
        </is>
      </c>
      <c r="P302" s="42" t="inlineStr">
        <is>
          <t>Ecclesia (shrine and prayer cards)</t>
        </is>
      </c>
      <c r="Q302" s="41" t="inlineStr">
        <is>
          <t>Later world</t>
        </is>
      </c>
    </row>
    <row r="303" ht="15" customHeight="1" s="39">
      <c r="A303" s="41" t="inlineStr">
        <is>
          <t>Later worlds (kept out of the first world)</t>
        </is>
      </c>
      <c r="B303" s="41" t="n"/>
      <c r="C303" s="41" t="inlineStr">
        <is>
          <t>Vigil Owl</t>
        </is>
      </c>
      <c r="D303" s="41" t="inlineStr">
        <is>
          <t>vigil-owl</t>
        </is>
      </c>
      <c r="E303" s="41" t="n"/>
      <c r="F303" s="41" t="inlineStr">
        <is>
          <t>Rare</t>
        </is>
      </c>
      <c r="G303" s="41" t="n">
        <v>0</v>
      </c>
      <c r="H303" s="41" t="n">
        <v>1</v>
      </c>
      <c r="I303" s="41" t="n">
        <v>3</v>
      </c>
      <c r="J303" s="41" t="n">
        <v>9</v>
      </c>
      <c r="K303" s="42" t="inlineStr">
        <is>
          <t>Divine Retribution 2, Nocturnal</t>
        </is>
      </c>
      <c r="L303" s="41" t="n"/>
      <c r="M303" s="41" t="inlineStr">
        <is>
          <t>Bird</t>
        </is>
      </c>
      <c r="N303" s="41" t="inlineStr">
        <is>
          <t>Owl</t>
        </is>
      </c>
      <c r="O303" s="41" t="inlineStr">
        <is>
          <t>Any</t>
        </is>
      </c>
      <c r="P303" s="42" t="inlineStr">
        <is>
          <t>Ecclesia (shrine and prayer cards)</t>
        </is>
      </c>
      <c r="Q303" s="41" t="inlineStr">
        <is>
          <t>Later world</t>
        </is>
      </c>
    </row>
    <row r="304" ht="15" customHeight="1" s="39">
      <c r="A304" s="41" t="inlineStr">
        <is>
          <t>Later worlds (kept out of the first world)</t>
        </is>
      </c>
      <c r="B304" s="41" t="n"/>
      <c r="C304" s="41" t="inlineStr">
        <is>
          <t>Alpine Avalanche</t>
        </is>
      </c>
      <c r="D304" s="41" t="inlineStr">
        <is>
          <t>alpine-avalanche</t>
        </is>
      </c>
      <c r="E304" s="41" t="n"/>
      <c r="F304" s="41" t="inlineStr">
        <is>
          <t>Common</t>
        </is>
      </c>
      <c r="G304" s="41" t="n">
        <v>2</v>
      </c>
      <c r="H304" s="41" t="n">
        <v>2</v>
      </c>
      <c r="I304" s="41" t="n">
        <v>6</v>
      </c>
      <c r="J304" s="41" t="n">
        <v>15</v>
      </c>
      <c r="K304" s="42" t="inlineStr">
        <is>
          <t>Fork</t>
        </is>
      </c>
      <c r="L304" s="41" t="n"/>
      <c r="M304" s="41" t="inlineStr">
        <is>
          <t>Elemental</t>
        </is>
      </c>
      <c r="N304" s="41" t="inlineStr">
        <is>
          <t>Elemental</t>
        </is>
      </c>
      <c r="O304" s="41" t="inlineStr">
        <is>
          <t>Mountain</t>
        </is>
      </c>
      <c r="P304" s="42" t="inlineStr">
        <is>
          <t>Elemental: the first world keeps fewer than 6</t>
        </is>
      </c>
      <c r="Q304" s="41" t="inlineStr">
        <is>
          <t>Later world</t>
        </is>
      </c>
    </row>
    <row r="305" ht="15" customHeight="1" s="39">
      <c r="A305" s="41" t="inlineStr">
        <is>
          <t>Later worlds (kept out of the first world)</t>
        </is>
      </c>
      <c r="B305" s="41" t="n"/>
      <c r="C305" s="41" t="inlineStr">
        <is>
          <t>Bramble Sprout</t>
        </is>
      </c>
      <c r="D305" s="41" t="inlineStr">
        <is>
          <t>bramble-sprout</t>
        </is>
      </c>
      <c r="E305" s="41" t="n"/>
      <c r="F305" s="41" t="inlineStr">
        <is>
          <t>Common</t>
        </is>
      </c>
      <c r="G305" s="41" t="n">
        <v>0</v>
      </c>
      <c r="H305" s="41" t="n">
        <v>0</v>
      </c>
      <c r="I305" s="41" t="n">
        <v>2</v>
      </c>
      <c r="J305" s="41" t="n">
        <v>6</v>
      </c>
      <c r="K305" s="42" t="inlineStr">
        <is>
          <t>—</t>
        </is>
      </c>
      <c r="L305" s="41" t="n"/>
      <c r="M305" s="41" t="inlineStr">
        <is>
          <t>Elemental</t>
        </is>
      </c>
      <c r="N305" s="41" t="inlineStr">
        <is>
          <t>Elemental</t>
        </is>
      </c>
      <c r="O305" s="41" t="inlineStr">
        <is>
          <t>Forest</t>
        </is>
      </c>
      <c r="P305" s="42" t="inlineStr">
        <is>
          <t>Elemental: the first world keeps fewer than 6</t>
        </is>
      </c>
      <c r="Q305" s="41" t="inlineStr">
        <is>
          <t>Later world</t>
        </is>
      </c>
    </row>
    <row r="306" ht="15" customHeight="1" s="39">
      <c r="A306" s="41" t="inlineStr">
        <is>
          <t>Later worlds (kept out of the first world)</t>
        </is>
      </c>
      <c r="B306" s="41" t="n"/>
      <c r="C306" s="41" t="inlineStr">
        <is>
          <t>Cypress Root Lurker</t>
        </is>
      </c>
      <c r="D306" s="41" t="inlineStr">
        <is>
          <t>cypress-root-lurker</t>
        </is>
      </c>
      <c r="E306" s="41" t="n"/>
      <c r="F306" s="41" t="inlineStr">
        <is>
          <t>Common</t>
        </is>
      </c>
      <c r="G306" s="41" t="n">
        <v>1</v>
      </c>
      <c r="H306" s="41" t="n">
        <v>2</v>
      </c>
      <c r="I306" s="41" t="n">
        <v>4</v>
      </c>
      <c r="J306" s="41" t="n">
        <v>13</v>
      </c>
      <c r="K306" s="42" t="inlineStr">
        <is>
          <t>Guardian</t>
        </is>
      </c>
      <c r="L306" s="41" t="n"/>
      <c r="M306" s="41" t="inlineStr">
        <is>
          <t>Elemental</t>
        </is>
      </c>
      <c r="N306" s="41" t="inlineStr">
        <is>
          <t>Elemental</t>
        </is>
      </c>
      <c r="O306" s="41" t="inlineStr">
        <is>
          <t>Swamp</t>
        </is>
      </c>
      <c r="P306" s="42" t="inlineStr">
        <is>
          <t>Elemental: the first world keeps fewer than 6</t>
        </is>
      </c>
      <c r="Q306" s="41" t="inlineStr">
        <is>
          <t>Later world</t>
        </is>
      </c>
    </row>
    <row r="307" ht="23.25" customHeight="1" s="39">
      <c r="A307" s="41" t="inlineStr">
        <is>
          <t>Later worlds (kept out of the first world)</t>
        </is>
      </c>
      <c r="B307" s="41" t="n"/>
      <c r="C307" s="41" t="inlineStr">
        <is>
          <t>Elder Willow</t>
        </is>
      </c>
      <c r="D307" s="41" t="inlineStr">
        <is>
          <t>elder-willow</t>
        </is>
      </c>
      <c r="E307" s="41" t="n"/>
      <c r="F307" s="41" t="inlineStr">
        <is>
          <t>Common</t>
        </is>
      </c>
      <c r="G307" s="41" t="n">
        <v>3</v>
      </c>
      <c r="H307" s="41" t="n">
        <v>5</v>
      </c>
      <c r="I307" s="41" t="n">
        <v>9</v>
      </c>
      <c r="J307" s="41" t="n">
        <v>48</v>
      </c>
      <c r="K307" s="42" t="inlineStr">
        <is>
          <t>Lumber when Ready 1, Bounty 1, Worthy 2</t>
        </is>
      </c>
      <c r="L307" s="41" t="n"/>
      <c r="M307" s="41" t="inlineStr">
        <is>
          <t>Elemental</t>
        </is>
      </c>
      <c r="N307" s="41" t="inlineStr">
        <is>
          <t>Elemental</t>
        </is>
      </c>
      <c r="O307" s="41" t="inlineStr">
        <is>
          <t>Forest</t>
        </is>
      </c>
      <c r="P307" s="42" t="inlineStr">
        <is>
          <t>Elemental: the first world keeps fewer than 6</t>
        </is>
      </c>
      <c r="Q307" s="41" t="inlineStr">
        <is>
          <t>Later world</t>
        </is>
      </c>
    </row>
    <row r="308" ht="15" customHeight="1" s="39">
      <c r="A308" s="41" t="inlineStr">
        <is>
          <t>Later worlds (kept out of the first world)</t>
        </is>
      </c>
      <c r="B308" s="41" t="n"/>
      <c r="C308" s="41" t="inlineStr">
        <is>
          <t>Ent</t>
        </is>
      </c>
      <c r="D308" s="41" t="inlineStr">
        <is>
          <t>ent</t>
        </is>
      </c>
      <c r="E308" s="41" t="n"/>
      <c r="F308" s="41" t="inlineStr">
        <is>
          <t>Rare</t>
        </is>
      </c>
      <c r="G308" s="41" t="n">
        <v>0</v>
      </c>
      <c r="H308" s="41" t="n">
        <v>3</v>
      </c>
      <c r="I308" s="41" t="n">
        <v>3</v>
      </c>
      <c r="J308" s="41" t="n">
        <v>20</v>
      </c>
      <c r="K308" s="42" t="inlineStr">
        <is>
          <t>—</t>
        </is>
      </c>
      <c r="L308" s="41" t="n"/>
      <c r="M308" s="41" t="inlineStr">
        <is>
          <t>Elemental</t>
        </is>
      </c>
      <c r="N308" s="41" t="inlineStr">
        <is>
          <t>Elemental</t>
        </is>
      </c>
      <c r="O308" s="41" t="inlineStr">
        <is>
          <t>Forest</t>
        </is>
      </c>
      <c r="P308" s="42" t="inlineStr">
        <is>
          <t>Elemental: the first world keeps fewer than 6</t>
        </is>
      </c>
      <c r="Q308" s="41" t="inlineStr">
        <is>
          <t>Later world</t>
        </is>
      </c>
    </row>
    <row r="309" ht="15" customHeight="1" s="39">
      <c r="A309" s="41" t="inlineStr">
        <is>
          <t>Later worlds (kept out of the first world)</t>
        </is>
      </c>
      <c r="B309" s="41" t="n"/>
      <c r="C309" s="41" t="inlineStr">
        <is>
          <t>Fungal Colossus</t>
        </is>
      </c>
      <c r="D309" s="41" t="inlineStr">
        <is>
          <t>fungal-colossus</t>
        </is>
      </c>
      <c r="E309" s="41" t="n"/>
      <c r="F309" s="41" t="inlineStr">
        <is>
          <t>Common</t>
        </is>
      </c>
      <c r="G309" s="41" t="n">
        <v>2</v>
      </c>
      <c r="H309" s="41" t="n">
        <v>3</v>
      </c>
      <c r="I309" s="41" t="n">
        <v>6</v>
      </c>
      <c r="J309" s="41" t="n">
        <v>32</v>
      </c>
      <c r="K309" s="42" t="inlineStr">
        <is>
          <t>Progeny (1× bramble-sprout), Bounty 1</t>
        </is>
      </c>
      <c r="L309" s="41" t="n"/>
      <c r="M309" s="41" t="inlineStr">
        <is>
          <t>Elemental</t>
        </is>
      </c>
      <c r="N309" s="41" t="inlineStr">
        <is>
          <t>Elemental</t>
        </is>
      </c>
      <c r="O309" s="41" t="inlineStr">
        <is>
          <t>Forest</t>
        </is>
      </c>
      <c r="P309" s="42" t="inlineStr">
        <is>
          <t>Elemental: the first world keeps fewer than 6</t>
        </is>
      </c>
      <c r="Q309" s="41" t="inlineStr">
        <is>
          <t>Later world</t>
        </is>
      </c>
    </row>
    <row r="310" ht="15" customHeight="1" s="39">
      <c r="A310" s="41" t="inlineStr">
        <is>
          <t>Later worlds (kept out of the first world)</t>
        </is>
      </c>
      <c r="B310" s="41" t="n"/>
      <c r="C310" s="41" t="inlineStr">
        <is>
          <t>Gale Sprite</t>
        </is>
      </c>
      <c r="D310" s="41" t="inlineStr">
        <is>
          <t>gale-sprite</t>
        </is>
      </c>
      <c r="E310" s="41" t="n"/>
      <c r="F310" s="41" t="inlineStr">
        <is>
          <t>Common</t>
        </is>
      </c>
      <c r="G310" s="41" t="n">
        <v>1</v>
      </c>
      <c r="H310" s="41" t="n">
        <v>0</v>
      </c>
      <c r="I310" s="41" t="n">
        <v>4</v>
      </c>
      <c r="J310" s="41" t="n">
        <v>6</v>
      </c>
      <c r="K310" s="42" t="inlineStr">
        <is>
          <t>—</t>
        </is>
      </c>
      <c r="L310" s="41" t="n"/>
      <c r="M310" s="41" t="inlineStr">
        <is>
          <t>Elemental</t>
        </is>
      </c>
      <c r="N310" s="41" t="inlineStr">
        <is>
          <t>Elemental</t>
        </is>
      </c>
      <c r="O310" s="41" t="inlineStr">
        <is>
          <t>Any</t>
        </is>
      </c>
      <c r="P310" s="42" t="inlineStr">
        <is>
          <t>Elemental: the first world keeps fewer than 6</t>
        </is>
      </c>
      <c r="Q310" s="41" t="inlineStr">
        <is>
          <t>Later world</t>
        </is>
      </c>
    </row>
    <row r="311" ht="15" customHeight="1" s="39">
      <c r="A311" s="41" t="inlineStr">
        <is>
          <t>Later worlds (kept out of the first world)</t>
        </is>
      </c>
      <c r="B311" s="41" t="n"/>
      <c r="C311" s="41" t="inlineStr">
        <is>
          <t>Glass Golem</t>
        </is>
      </c>
      <c r="D311" s="41" t="inlineStr">
        <is>
          <t>glass-golem</t>
        </is>
      </c>
      <c r="E311" s="41" t="n"/>
      <c r="F311" s="41" t="inlineStr">
        <is>
          <t>Rare</t>
        </is>
      </c>
      <c r="G311" s="41" t="n">
        <v>1</v>
      </c>
      <c r="H311" s="41" t="n">
        <v>1</v>
      </c>
      <c r="I311" s="41" t="n">
        <v>7</v>
      </c>
      <c r="J311" s="41" t="n">
        <v>1</v>
      </c>
      <c r="K311" s="42" t="inlineStr">
        <is>
          <t>—</t>
        </is>
      </c>
      <c r="L311" s="41" t="n"/>
      <c r="M311" s="41" t="inlineStr">
        <is>
          <t>Elemental</t>
        </is>
      </c>
      <c r="N311" s="41" t="inlineStr">
        <is>
          <t>Elemental</t>
        </is>
      </c>
      <c r="O311" s="41" t="inlineStr">
        <is>
          <t>Any</t>
        </is>
      </c>
      <c r="P311" s="42" t="inlineStr">
        <is>
          <t>Elemental: the first world keeps fewer than 6</t>
        </is>
      </c>
      <c r="Q311" s="41" t="inlineStr">
        <is>
          <t>Later world</t>
        </is>
      </c>
    </row>
    <row r="312" ht="15" customHeight="1" s="39">
      <c r="A312" s="41" t="inlineStr">
        <is>
          <t>Later worlds (kept out of the first world)</t>
        </is>
      </c>
      <c r="B312" s="41" t="n"/>
      <c r="C312" s="41" t="inlineStr">
        <is>
          <t>Hollow Oath-Keeper</t>
        </is>
      </c>
      <c r="D312" s="41" t="inlineStr">
        <is>
          <t>hollow-oath-keeper</t>
        </is>
      </c>
      <c r="E312" s="41" t="n"/>
      <c r="F312" s="41" t="inlineStr">
        <is>
          <t>Common</t>
        </is>
      </c>
      <c r="G312" s="41" t="n">
        <v>1</v>
      </c>
      <c r="H312" s="41" t="n">
        <v>1</v>
      </c>
      <c r="I312" s="41" t="n">
        <v>4</v>
      </c>
      <c r="J312" s="41" t="n">
        <v>16</v>
      </c>
      <c r="K312" s="42" t="inlineStr">
        <is>
          <t>—</t>
        </is>
      </c>
      <c r="L312" s="41" t="n"/>
      <c r="M312" s="41" t="inlineStr">
        <is>
          <t>Elemental</t>
        </is>
      </c>
      <c r="N312" s="41" t="inlineStr">
        <is>
          <t>Elemental</t>
        </is>
      </c>
      <c r="O312" s="41" t="inlineStr">
        <is>
          <t>Forest</t>
        </is>
      </c>
      <c r="P312" s="42" t="inlineStr">
        <is>
          <t>Elemental: the first world keeps fewer than 6</t>
        </is>
      </c>
      <c r="Q312" s="41" t="inlineStr">
        <is>
          <t>Later world</t>
        </is>
      </c>
    </row>
    <row r="313" ht="15" customHeight="1" s="39">
      <c r="A313" s="41" t="inlineStr">
        <is>
          <t>Later worlds (kept out of the first world)</t>
        </is>
      </c>
      <c r="B313" s="41" t="n"/>
      <c r="C313" s="41" t="inlineStr">
        <is>
          <t>Iron Warden</t>
        </is>
      </c>
      <c r="D313" s="41" t="inlineStr">
        <is>
          <t>iron-warden</t>
        </is>
      </c>
      <c r="E313" s="41" t="n"/>
      <c r="F313" s="41" t="inlineStr">
        <is>
          <t>Epic</t>
        </is>
      </c>
      <c r="G313" s="41" t="n">
        <v>3</v>
      </c>
      <c r="H313" s="41" t="n">
        <v>3</v>
      </c>
      <c r="I313" s="41" t="n">
        <v>3</v>
      </c>
      <c r="J313" s="41" t="n">
        <v>18</v>
      </c>
      <c r="K313" s="42" t="inlineStr">
        <is>
          <t>Iron-will</t>
        </is>
      </c>
      <c r="L313" s="41" t="n"/>
      <c r="M313" s="41" t="inlineStr">
        <is>
          <t>Elemental</t>
        </is>
      </c>
      <c r="N313" s="41" t="inlineStr">
        <is>
          <t>Elemental</t>
        </is>
      </c>
      <c r="O313" s="41" t="inlineStr">
        <is>
          <t>Any</t>
        </is>
      </c>
      <c r="P313" s="42" t="inlineStr">
        <is>
          <t>Elemental: the first world keeps fewer than 6</t>
        </is>
      </c>
      <c r="Q313" s="41" t="inlineStr">
        <is>
          <t>Later world</t>
        </is>
      </c>
    </row>
    <row r="314" ht="15" customHeight="1" s="39">
      <c r="A314" s="41" t="inlineStr">
        <is>
          <t>Later worlds (kept out of the first world)</t>
        </is>
      </c>
      <c r="B314" s="41" t="n"/>
      <c r="C314" s="41" t="inlineStr">
        <is>
          <t>Magma Titan</t>
        </is>
      </c>
      <c r="D314" s="41" t="inlineStr">
        <is>
          <t>magma-titan</t>
        </is>
      </c>
      <c r="E314" s="41" t="n"/>
      <c r="F314" s="41" t="inlineStr">
        <is>
          <t>Common</t>
        </is>
      </c>
      <c r="G314" s="41" t="n">
        <v>3</v>
      </c>
      <c r="H314" s="41" t="n">
        <v>2</v>
      </c>
      <c r="I314" s="41" t="n">
        <v>6</v>
      </c>
      <c r="J314" s="41" t="n">
        <v>26</v>
      </c>
      <c r="K314" s="42" t="inlineStr">
        <is>
          <t>Scar 2, Immolation 1</t>
        </is>
      </c>
      <c r="L314" s="41" t="n"/>
      <c r="M314" s="41" t="inlineStr">
        <is>
          <t>Elemental</t>
        </is>
      </c>
      <c r="N314" s="41" t="inlineStr">
        <is>
          <t>Elemental</t>
        </is>
      </c>
      <c r="O314" s="41" t="inlineStr">
        <is>
          <t>Volcano</t>
        </is>
      </c>
      <c r="P314" s="42" t="inlineStr">
        <is>
          <t>Elemental: the first world keeps fewer than 6</t>
        </is>
      </c>
      <c r="Q314" s="41" t="inlineStr">
        <is>
          <t>Later world</t>
        </is>
      </c>
    </row>
    <row r="315" ht="15" customHeight="1" s="39">
      <c r="A315" s="41" t="inlineStr">
        <is>
          <t>Later worlds (kept out of the first world)</t>
        </is>
      </c>
      <c r="B315" s="41" t="n"/>
      <c r="C315" s="41" t="inlineStr">
        <is>
          <t>Malachite Golem</t>
        </is>
      </c>
      <c r="D315" s="41" t="inlineStr">
        <is>
          <t>malachite-golem</t>
        </is>
      </c>
      <c r="E315" s="41" t="n"/>
      <c r="F315" s="41" t="inlineStr">
        <is>
          <t>Rare</t>
        </is>
      </c>
      <c r="G315" s="41" t="n">
        <v>2</v>
      </c>
      <c r="H315" s="41" t="n">
        <v>3</v>
      </c>
      <c r="I315" s="41" t="n">
        <v>8</v>
      </c>
      <c r="J315" s="41" t="n">
        <v>34</v>
      </c>
      <c r="K315" s="42" t="inlineStr">
        <is>
          <t>Shell 4, Darksight</t>
        </is>
      </c>
      <c r="L315" s="41" t="n"/>
      <c r="M315" s="41" t="inlineStr">
        <is>
          <t>Elemental</t>
        </is>
      </c>
      <c r="N315" s="41" t="inlineStr">
        <is>
          <t>Elemental</t>
        </is>
      </c>
      <c r="O315" s="41" t="inlineStr">
        <is>
          <t>Cave</t>
        </is>
      </c>
      <c r="P315" s="42" t="inlineStr">
        <is>
          <t>Elemental: the first world keeps fewer than 6</t>
        </is>
      </c>
      <c r="Q315" s="41" t="inlineStr">
        <is>
          <t>Later world</t>
        </is>
      </c>
    </row>
    <row r="316" ht="15" customHeight="1" s="39">
      <c r="A316" s="41" t="inlineStr">
        <is>
          <t>Later worlds (kept out of the first world)</t>
        </is>
      </c>
      <c r="B316" s="41" t="n"/>
      <c r="C316" s="41" t="inlineStr">
        <is>
          <t>Pinecone Sapper</t>
        </is>
      </c>
      <c r="D316" s="41" t="inlineStr">
        <is>
          <t>pinecone-sapper</t>
        </is>
      </c>
      <c r="E316" s="41" t="n"/>
      <c r="F316" s="41" t="inlineStr">
        <is>
          <t>Common</t>
        </is>
      </c>
      <c r="G316" s="41" t="n">
        <v>0</v>
      </c>
      <c r="H316" s="41" t="n">
        <v>1</v>
      </c>
      <c r="I316" s="41" t="n">
        <v>0</v>
      </c>
      <c r="J316" s="41" t="n">
        <v>6</v>
      </c>
      <c r="K316" s="42" t="inlineStr">
        <is>
          <t>Explode 4</t>
        </is>
      </c>
      <c r="L316" s="41" t="n"/>
      <c r="M316" s="41" t="inlineStr">
        <is>
          <t>Elemental</t>
        </is>
      </c>
      <c r="N316" s="41" t="inlineStr">
        <is>
          <t>Elemental</t>
        </is>
      </c>
      <c r="O316" s="41" t="inlineStr">
        <is>
          <t>Taiga</t>
        </is>
      </c>
      <c r="P316" s="42" t="inlineStr">
        <is>
          <t>Elemental: the first world keeps fewer than 6</t>
        </is>
      </c>
      <c r="Q316" s="41" t="inlineStr">
        <is>
          <t>Later world</t>
        </is>
      </c>
    </row>
    <row r="317" ht="15" customHeight="1" s="39">
      <c r="A317" s="41" t="inlineStr">
        <is>
          <t>Later worlds (kept out of the first world)</t>
        </is>
      </c>
      <c r="B317" s="41" t="n"/>
      <c r="C317" s="41" t="inlineStr">
        <is>
          <t>Stoneheart Golem</t>
        </is>
      </c>
      <c r="D317" s="41" t="inlineStr">
        <is>
          <t>stoneheart-golem</t>
        </is>
      </c>
      <c r="E317" s="41" t="n"/>
      <c r="F317" s="41" t="inlineStr">
        <is>
          <t>Common</t>
        </is>
      </c>
      <c r="G317" s="41" t="n">
        <v>2</v>
      </c>
      <c r="H317" s="41" t="n">
        <v>3</v>
      </c>
      <c r="I317" s="41" t="n">
        <v>5</v>
      </c>
      <c r="J317" s="41" t="n">
        <v>34</v>
      </c>
      <c r="K317" s="42" t="inlineStr">
        <is>
          <t>Bounty 1</t>
        </is>
      </c>
      <c r="L317" s="41" t="n"/>
      <c r="M317" s="41" t="inlineStr">
        <is>
          <t>Elemental</t>
        </is>
      </c>
      <c r="N317" s="41" t="inlineStr">
        <is>
          <t>Elemental</t>
        </is>
      </c>
      <c r="O317" s="41" t="inlineStr">
        <is>
          <t>Any</t>
        </is>
      </c>
      <c r="P317" s="42" t="inlineStr">
        <is>
          <t>Elemental: the first world keeps fewer than 6</t>
        </is>
      </c>
      <c r="Q317" s="41" t="inlineStr">
        <is>
          <t>Later world</t>
        </is>
      </c>
    </row>
    <row r="318" ht="15" customHeight="1" s="39">
      <c r="A318" s="41" t="inlineStr">
        <is>
          <t>Later worlds (kept out of the first world)</t>
        </is>
      </c>
      <c r="B318" s="41" t="n"/>
      <c r="C318" s="41" t="inlineStr">
        <is>
          <t>Stormcaller</t>
        </is>
      </c>
      <c r="D318" s="41" t="inlineStr">
        <is>
          <t>stormcaller</t>
        </is>
      </c>
      <c r="E318" s="41" t="n"/>
      <c r="F318" s="41" t="inlineStr">
        <is>
          <t>Common</t>
        </is>
      </c>
      <c r="G318" s="41" t="n">
        <v>3</v>
      </c>
      <c r="H318" s="41" t="n">
        <v>4</v>
      </c>
      <c r="I318" s="41" t="n">
        <v>9</v>
      </c>
      <c r="J318" s="41" t="n">
        <v>26</v>
      </c>
      <c r="K318" s="42" t="inlineStr">
        <is>
          <t>Bounty 1, Ready Strike 5, Stall 1</t>
        </is>
      </c>
      <c r="L318" s="41" t="n"/>
      <c r="M318" s="41" t="inlineStr">
        <is>
          <t>Elemental</t>
        </is>
      </c>
      <c r="N318" s="41" t="inlineStr">
        <is>
          <t>Elemental</t>
        </is>
      </c>
      <c r="O318" s="41" t="inlineStr">
        <is>
          <t>Any</t>
        </is>
      </c>
      <c r="P318" s="42" t="inlineStr">
        <is>
          <t>Elemental: the first world keeps fewer than 6</t>
        </is>
      </c>
      <c r="Q318" s="41" t="inlineStr">
        <is>
          <t>Later world</t>
        </is>
      </c>
    </row>
    <row r="319" ht="15" customHeight="1" s="39">
      <c r="A319" s="41" t="inlineStr">
        <is>
          <t>Later worlds (kept out of the first world)</t>
        </is>
      </c>
      <c r="B319" s="41" t="n"/>
      <c r="C319" s="41" t="inlineStr">
        <is>
          <t>Strangler Vine</t>
        </is>
      </c>
      <c r="D319" s="41" t="inlineStr">
        <is>
          <t>strangler-vine</t>
        </is>
      </c>
      <c r="E319" s="41" t="n"/>
      <c r="F319" s="41" t="inlineStr">
        <is>
          <t>Rare</t>
        </is>
      </c>
      <c r="G319" s="41" t="n">
        <v>1</v>
      </c>
      <c r="H319" s="41" t="n">
        <v>2</v>
      </c>
      <c r="I319" s="41" t="n">
        <v>3</v>
      </c>
      <c r="J319" s="41" t="n">
        <v>14</v>
      </c>
      <c r="K319" s="42" t="inlineStr">
        <is>
          <t>Thorns 2</t>
        </is>
      </c>
      <c r="L319" s="41" t="n"/>
      <c r="M319" s="41" t="inlineStr">
        <is>
          <t>Elemental</t>
        </is>
      </c>
      <c r="N319" s="41" t="inlineStr">
        <is>
          <t>Elemental</t>
        </is>
      </c>
      <c r="O319" s="41" t="inlineStr">
        <is>
          <t>Rainforest</t>
        </is>
      </c>
      <c r="P319" s="42" t="inlineStr">
        <is>
          <t>Elemental: the first world keeps fewer than 6</t>
        </is>
      </c>
      <c r="Q319" s="41" t="inlineStr">
        <is>
          <t>Later world</t>
        </is>
      </c>
    </row>
    <row r="320" ht="15" customHeight="1" s="39">
      <c r="A320" s="41" t="inlineStr">
        <is>
          <t>Later worlds (kept out of the first world)</t>
        </is>
      </c>
      <c r="B320" s="41" t="n"/>
      <c r="C320" s="41" t="inlineStr">
        <is>
          <t>Thornvine Lasher</t>
        </is>
      </c>
      <c r="D320" s="41" t="inlineStr">
        <is>
          <t>thornvine-lasher</t>
        </is>
      </c>
      <c r="E320" s="41" t="n"/>
      <c r="F320" s="41" t="inlineStr">
        <is>
          <t>Rare</t>
        </is>
      </c>
      <c r="G320" s="41" t="n">
        <v>0</v>
      </c>
      <c r="H320" s="41" t="n">
        <v>1</v>
      </c>
      <c r="I320" s="41" t="n">
        <v>3</v>
      </c>
      <c r="J320" s="41" t="n">
        <v>9</v>
      </c>
      <c r="K320" s="42" t="inlineStr">
        <is>
          <t>—</t>
        </is>
      </c>
      <c r="L320" s="41" t="n"/>
      <c r="M320" s="41" t="inlineStr">
        <is>
          <t>Elemental</t>
        </is>
      </c>
      <c r="N320" s="41" t="inlineStr">
        <is>
          <t>Elemental</t>
        </is>
      </c>
      <c r="O320" s="41" t="inlineStr">
        <is>
          <t>Forest</t>
        </is>
      </c>
      <c r="P320" s="42" t="inlineStr">
        <is>
          <t>Elemental: the first world keeps fewer than 6</t>
        </is>
      </c>
      <c r="Q320" s="41" t="inlineStr">
        <is>
          <t>Later world</t>
        </is>
      </c>
    </row>
    <row r="321" ht="15" customHeight="1" s="39">
      <c r="A321" s="41" t="inlineStr">
        <is>
          <t>Later worlds (kept out of the first world)</t>
        </is>
      </c>
      <c r="B321" s="41" t="n"/>
      <c r="C321" s="41" t="inlineStr">
        <is>
          <t>Tide Spirit</t>
        </is>
      </c>
      <c r="D321" s="41" t="inlineStr">
        <is>
          <t>tide-spirit</t>
        </is>
      </c>
      <c r="E321" s="41" t="n"/>
      <c r="F321" s="41" t="inlineStr">
        <is>
          <t>Rare</t>
        </is>
      </c>
      <c r="G321" s="41" t="n">
        <v>0</v>
      </c>
      <c r="H321" s="41" t="n">
        <v>1</v>
      </c>
      <c r="I321" s="41" t="n">
        <v>2</v>
      </c>
      <c r="J321" s="41" t="n">
        <v>5</v>
      </c>
      <c r="K321" s="42" t="inlineStr">
        <is>
          <t>Tide, Wash</t>
        </is>
      </c>
      <c r="L321" s="41" t="n"/>
      <c r="M321" s="41" t="inlineStr">
        <is>
          <t>Elemental</t>
        </is>
      </c>
      <c r="N321" s="41" t="inlineStr">
        <is>
          <t>Elemental</t>
        </is>
      </c>
      <c r="O321" s="41" t="inlineStr">
        <is>
          <t>Any</t>
        </is>
      </c>
      <c r="P321" s="42" t="inlineStr">
        <is>
          <t>Elemental: the first world keeps fewer than 6</t>
        </is>
      </c>
      <c r="Q321" s="41" t="inlineStr">
        <is>
          <t>Later world</t>
        </is>
      </c>
    </row>
    <row r="322" ht="15" customHeight="1" s="39">
      <c r="A322" s="41" t="inlineStr">
        <is>
          <t>Later worlds (kept out of the first world)</t>
        </is>
      </c>
      <c r="B322" s="41" t="n"/>
      <c r="C322" s="41" t="inlineStr">
        <is>
          <t>Wound Reaver</t>
        </is>
      </c>
      <c r="D322" s="41" t="inlineStr">
        <is>
          <t>wound-reaver</t>
        </is>
      </c>
      <c r="E322" s="41" t="n"/>
      <c r="F322" s="41" t="inlineStr">
        <is>
          <t>Rare</t>
        </is>
      </c>
      <c r="G322" s="41" t="n">
        <v>1</v>
      </c>
      <c r="H322" s="41" t="n">
        <v>1</v>
      </c>
      <c r="I322" s="41" t="n">
        <v>3</v>
      </c>
      <c r="J322" s="41" t="n">
        <v>13</v>
      </c>
      <c r="K322" s="42" t="inlineStr">
        <is>
          <t>Bleed 2, Rupture</t>
        </is>
      </c>
      <c r="L322" s="41" t="n"/>
      <c r="M322" s="41" t="inlineStr">
        <is>
          <t>Elemental</t>
        </is>
      </c>
      <c r="N322" s="41" t="inlineStr">
        <is>
          <t>Elemental</t>
        </is>
      </c>
      <c r="O322" s="41" t="inlineStr">
        <is>
          <t>Volcano</t>
        </is>
      </c>
      <c r="P322" s="42" t="inlineStr">
        <is>
          <t>Elemental: the first world keeps fewer than 6</t>
        </is>
      </c>
      <c r="Q322" s="41" t="inlineStr">
        <is>
          <t>Later world</t>
        </is>
      </c>
    </row>
    <row r="323" ht="15" customHeight="1" s="39">
      <c r="A323" s="41" t="inlineStr">
        <is>
          <t>Later worlds (kept out of the first world)</t>
        </is>
      </c>
      <c r="B323" s="41" t="n"/>
      <c r="C323" s="41" t="inlineStr">
        <is>
          <t>Bog Revenant</t>
        </is>
      </c>
      <c r="D323" s="41" t="inlineStr">
        <is>
          <t>bog-revenant</t>
        </is>
      </c>
      <c r="E323" s="41" t="n"/>
      <c r="F323" s="41" t="inlineStr">
        <is>
          <t>Rare</t>
        </is>
      </c>
      <c r="G323" s="41" t="n">
        <v>1</v>
      </c>
      <c r="H323" s="41" t="n">
        <v>1</v>
      </c>
      <c r="I323" s="41" t="n">
        <v>4</v>
      </c>
      <c r="J323" s="41" t="n">
        <v>7</v>
      </c>
      <c r="K323" s="42" t="inlineStr">
        <is>
          <t>Remember 3, Fade</t>
        </is>
      </c>
      <c r="L323" s="41" t="n"/>
      <c r="M323" s="41" t="inlineStr">
        <is>
          <t>Elemental</t>
        </is>
      </c>
      <c r="N323" s="41" t="inlineStr">
        <is>
          <t>Elemental</t>
        </is>
      </c>
      <c r="O323" s="41" t="inlineStr">
        <is>
          <t>Swamp</t>
        </is>
      </c>
      <c r="P323" s="42" t="inlineStr">
        <is>
          <t>The Forgotten (ghosts, hexes and the restless dead)</t>
        </is>
      </c>
      <c r="Q323" s="41" t="inlineStr">
        <is>
          <t>Later world</t>
        </is>
      </c>
    </row>
    <row r="324" ht="15" customHeight="1" s="39">
      <c r="A324" s="41" t="inlineStr">
        <is>
          <t>Later worlds (kept out of the first world)</t>
        </is>
      </c>
      <c r="B324" s="41" t="n"/>
      <c r="C324" s="41" t="inlineStr">
        <is>
          <t>Bone Diviner</t>
        </is>
      </c>
      <c r="D324" s="41" t="inlineStr">
        <is>
          <t>bone-diviner</t>
        </is>
      </c>
      <c r="E324" s="41" t="n"/>
      <c r="F324" s="41" t="inlineStr">
        <is>
          <t>Uncommon</t>
        </is>
      </c>
      <c r="G324" s="41" t="n">
        <v>2</v>
      </c>
      <c r="H324" s="41" t="n">
        <v>2</v>
      </c>
      <c r="I324" s="41" t="n">
        <v>5</v>
      </c>
      <c r="J324" s="41" t="n">
        <v>20</v>
      </c>
      <c r="K324" s="42" t="inlineStr">
        <is>
          <t>Loot 2, Flying</t>
        </is>
      </c>
      <c r="L324" s="41" t="n"/>
      <c r="M324" s="41" t="inlineStr">
        <is>
          <t>Bird</t>
        </is>
      </c>
      <c r="N324" s="41" t="inlineStr">
        <is>
          <t>Raven &amp; Crow</t>
        </is>
      </c>
      <c r="O324" s="41" t="inlineStr">
        <is>
          <t>Any</t>
        </is>
      </c>
      <c r="P324" s="42" t="inlineStr">
        <is>
          <t>The Forgotten (ghosts, hexes and the restless dead)</t>
        </is>
      </c>
      <c r="Q324" s="41" t="inlineStr">
        <is>
          <t>Later world</t>
        </is>
      </c>
    </row>
    <row r="325" ht="15" customHeight="1" s="39">
      <c r="A325" s="41" t="inlineStr">
        <is>
          <t>Later worlds (kept out of the first world)</t>
        </is>
      </c>
      <c r="B325" s="41" t="n"/>
      <c r="C325" s="41" t="inlineStr">
        <is>
          <t>Echo Keeper</t>
        </is>
      </c>
      <c r="D325" s="41" t="inlineStr">
        <is>
          <t>echo-keeper</t>
        </is>
      </c>
      <c r="E325" s="41" t="n"/>
      <c r="F325" s="41" t="inlineStr">
        <is>
          <t>Common</t>
        </is>
      </c>
      <c r="G325" s="41" t="n">
        <v>0</v>
      </c>
      <c r="H325" s="41" t="n">
        <v>0</v>
      </c>
      <c r="I325" s="41" t="n">
        <v>2</v>
      </c>
      <c r="J325" s="41" t="n">
        <v>6</v>
      </c>
      <c r="K325" s="42" t="inlineStr">
        <is>
          <t>Exile 2</t>
        </is>
      </c>
      <c r="L325" s="41" t="n"/>
      <c r="M325" s="41" t="inlineStr">
        <is>
          <t>Elemental</t>
        </is>
      </c>
      <c r="N325" s="41" t="inlineStr">
        <is>
          <t>Elemental</t>
        </is>
      </c>
      <c r="O325" s="41" t="inlineStr">
        <is>
          <t>Swamp</t>
        </is>
      </c>
      <c r="P325" s="42" t="inlineStr">
        <is>
          <t>The Forgotten (ghosts, hexes and the restless dead)</t>
        </is>
      </c>
      <c r="Q325" s="41" t="inlineStr">
        <is>
          <t>Later world</t>
        </is>
      </c>
    </row>
    <row r="326" ht="15" customHeight="1" s="39">
      <c r="A326" s="41" t="inlineStr">
        <is>
          <t>Later worlds (kept out of the first world)</t>
        </is>
      </c>
      <c r="B326" s="41" t="n"/>
      <c r="C326" s="41" t="inlineStr">
        <is>
          <t>Marsh Wisp</t>
        </is>
      </c>
      <c r="D326" s="41" t="inlineStr">
        <is>
          <t>marsh-wisp</t>
        </is>
      </c>
      <c r="E326" s="41" t="n"/>
      <c r="F326" s="41" t="inlineStr">
        <is>
          <t>Common</t>
        </is>
      </c>
      <c r="G326" s="41" t="n">
        <v>0</v>
      </c>
      <c r="H326" s="41" t="n">
        <v>1</v>
      </c>
      <c r="I326" s="41" t="n">
        <v>2</v>
      </c>
      <c r="J326" s="41" t="n">
        <v>4</v>
      </c>
      <c r="K326" s="42" t="inlineStr">
        <is>
          <t>Remember 2, Fade</t>
        </is>
      </c>
      <c r="L326" s="41" t="n"/>
      <c r="M326" s="41" t="inlineStr">
        <is>
          <t>Elemental</t>
        </is>
      </c>
      <c r="N326" s="41" t="inlineStr">
        <is>
          <t>Elemental</t>
        </is>
      </c>
      <c r="O326" s="41" t="inlineStr">
        <is>
          <t>Swamp</t>
        </is>
      </c>
      <c r="P326" s="42" t="inlineStr">
        <is>
          <t>The Forgotten (ghosts, hexes and the restless dead)</t>
        </is>
      </c>
      <c r="Q326" s="41" t="inlineStr">
        <is>
          <t>Later world</t>
        </is>
      </c>
    </row>
    <row r="327" ht="15" customHeight="1" s="39">
      <c r="A327" s="41" t="inlineStr">
        <is>
          <t>Later worlds (kept out of the first world)</t>
        </is>
      </c>
      <c r="B327" s="41" t="n"/>
      <c r="C327" s="41" t="inlineStr">
        <is>
          <t>Raven Hexcaller</t>
        </is>
      </c>
      <c r="D327" s="41" t="inlineStr">
        <is>
          <t>raven-hexcaller</t>
        </is>
      </c>
      <c r="E327" s="41" t="n"/>
      <c r="F327" s="41" t="inlineStr">
        <is>
          <t>Common</t>
        </is>
      </c>
      <c r="G327" s="41" t="n">
        <v>1</v>
      </c>
      <c r="H327" s="41" t="n">
        <v>1</v>
      </c>
      <c r="I327" s="41" t="n">
        <v>2</v>
      </c>
      <c r="J327" s="41" t="n">
        <v>10</v>
      </c>
      <c r="K327" s="42" t="inlineStr">
        <is>
          <t>Render 3, Flying</t>
        </is>
      </c>
      <c r="L327" s="41" t="n"/>
      <c r="M327" s="41" t="inlineStr">
        <is>
          <t>Bird</t>
        </is>
      </c>
      <c r="N327" s="41" t="inlineStr">
        <is>
          <t>Raven &amp; Crow</t>
        </is>
      </c>
      <c r="O327" s="41" t="inlineStr">
        <is>
          <t>Any</t>
        </is>
      </c>
      <c r="P327" s="42" t="inlineStr">
        <is>
          <t>The Forgotten (ghosts, hexes and the restless dead)</t>
        </is>
      </c>
      <c r="Q327" s="41" t="inlineStr">
        <is>
          <t>Later world</t>
        </is>
      </c>
    </row>
    <row r="328" ht="15" customHeight="1" s="39">
      <c r="A328" s="41" t="inlineStr">
        <is>
          <t>Later worlds (kept out of the first world)</t>
        </is>
      </c>
      <c r="B328" s="41" t="n"/>
      <c r="C328" s="41" t="inlineStr">
        <is>
          <t>Rot-Swollen Carcass</t>
        </is>
      </c>
      <c r="D328" s="41" t="inlineStr">
        <is>
          <t>rot-swollen-carcass</t>
        </is>
      </c>
      <c r="E328" s="41" t="n"/>
      <c r="F328" s="41" t="inlineStr">
        <is>
          <t>Common</t>
        </is>
      </c>
      <c r="G328" s="41" t="n">
        <v>3</v>
      </c>
      <c r="H328" s="41" t="n">
        <v>2</v>
      </c>
      <c r="I328" s="41" t="n">
        <v>3</v>
      </c>
      <c r="J328" s="41" t="n">
        <v>20</v>
      </c>
      <c r="K328" s="42" t="inlineStr">
        <is>
          <t>Progeny (3× maggot-swarmling), Stall 2</t>
        </is>
      </c>
      <c r="L328" s="41" t="n"/>
      <c r="M328" s="41" t="inlineStr">
        <is>
          <t>Annelid (Crawler)</t>
        </is>
      </c>
      <c r="N328" s="41" t="inlineStr">
        <is>
          <t>Worm &amp; Leech</t>
        </is>
      </c>
      <c r="O328" s="41" t="inlineStr">
        <is>
          <t>Swamp</t>
        </is>
      </c>
      <c r="P328" s="42" t="inlineStr">
        <is>
          <t>The Forgotten (ghosts, hexes and the restless dead)</t>
        </is>
      </c>
      <c r="Q328" s="41" t="inlineStr">
        <is>
          <t>Later world</t>
        </is>
      </c>
    </row>
    <row r="329" ht="15" customHeight="1" s="39">
      <c r="A329" s="41" t="inlineStr">
        <is>
          <t>Later worlds (kept out of the first world)</t>
        </is>
      </c>
      <c r="B329" s="41" t="n"/>
      <c r="C329" s="41" t="inlineStr">
        <is>
          <t>Skull Vulture</t>
        </is>
      </c>
      <c r="D329" s="41" t="inlineStr">
        <is>
          <t>skull-vulture</t>
        </is>
      </c>
      <c r="E329" s="41" t="n"/>
      <c r="F329" s="41" t="inlineStr">
        <is>
          <t>Uncommon</t>
        </is>
      </c>
      <c r="G329" s="41" t="n">
        <v>1</v>
      </c>
      <c r="H329" s="41" t="n">
        <v>1</v>
      </c>
      <c r="I329" s="41" t="n">
        <v>3</v>
      </c>
      <c r="J329" s="41" t="n">
        <v>4</v>
      </c>
      <c r="K329" s="42" t="inlineStr">
        <is>
          <t>Flying, Daunt 1, Nocturnal</t>
        </is>
      </c>
      <c r="L329" s="41" t="n"/>
      <c r="M329" s="41" t="inlineStr">
        <is>
          <t>Bird</t>
        </is>
      </c>
      <c r="N329" s="41" t="inlineStr">
        <is>
          <t>Eagle &amp; Hawk</t>
        </is>
      </c>
      <c r="O329" s="41" t="inlineStr">
        <is>
          <t>Swamp</t>
        </is>
      </c>
      <c r="P329" s="42" t="inlineStr">
        <is>
          <t>The Forgotten (ghosts, hexes and the restless dead)</t>
        </is>
      </c>
      <c r="Q329" s="41" t="inlineStr">
        <is>
          <t>Later world</t>
        </is>
      </c>
    </row>
    <row r="330" ht="15" customHeight="1" s="39">
      <c r="A330" s="41" t="inlineStr">
        <is>
          <t>Later worlds (kept out of the first world)</t>
        </is>
      </c>
      <c r="B330" s="41" t="n"/>
      <c r="C330" s="41" t="inlineStr">
        <is>
          <t>The Unremembered</t>
        </is>
      </c>
      <c r="D330" s="41" t="inlineStr">
        <is>
          <t>the-unremembered</t>
        </is>
      </c>
      <c r="E330" s="41" t="n"/>
      <c r="F330" s="41" t="inlineStr">
        <is>
          <t>Rare</t>
        </is>
      </c>
      <c r="G330" s="41" t="n">
        <v>1</v>
      </c>
      <c r="H330" s="41" t="n">
        <v>1</v>
      </c>
      <c r="I330" s="41" t="n">
        <v>3</v>
      </c>
      <c r="J330" s="41" t="n">
        <v>6</v>
      </c>
      <c r="K330" s="42" t="inlineStr">
        <is>
          <t>Remember 3, Exile 1, Fade</t>
        </is>
      </c>
      <c r="L330" s="41" t="n"/>
      <c r="M330" s="41" t="inlineStr">
        <is>
          <t>Elemental</t>
        </is>
      </c>
      <c r="N330" s="41" t="inlineStr">
        <is>
          <t>Elemental</t>
        </is>
      </c>
      <c r="O330" s="41" t="inlineStr">
        <is>
          <t>Swamp</t>
        </is>
      </c>
      <c r="P330" s="42" t="inlineStr">
        <is>
          <t>The Forgotten (ghosts, hexes and the restless dead)</t>
        </is>
      </c>
      <c r="Q330" s="41" t="inlineStr">
        <is>
          <t>Later world</t>
        </is>
      </c>
    </row>
    <row r="331" ht="15" customHeight="1" s="39">
      <c r="A331" s="41" t="inlineStr">
        <is>
          <t>Later worlds (kept out of the first world)</t>
        </is>
      </c>
      <c r="B331" s="41" t="n"/>
      <c r="C331" s="41" t="inlineStr">
        <is>
          <t>Willow-o'-Wisp</t>
        </is>
      </c>
      <c r="D331" s="41" t="inlineStr">
        <is>
          <t>willow-o-wisp</t>
        </is>
      </c>
      <c r="E331" s="41" t="n"/>
      <c r="F331" s="41" t="inlineStr">
        <is>
          <t>Uncommon</t>
        </is>
      </c>
      <c r="G331" s="41" t="n">
        <v>1</v>
      </c>
      <c r="H331" s="41" t="n">
        <v>1</v>
      </c>
      <c r="I331" s="41" t="n">
        <v>3</v>
      </c>
      <c r="J331" s="41" t="n">
        <v>8</v>
      </c>
      <c r="K331" s="42" t="inlineStr">
        <is>
          <t>Nocturnal 1, Grief 1, Exile 2</t>
        </is>
      </c>
      <c r="L331" s="41" t="n"/>
      <c r="M331" s="41" t="inlineStr">
        <is>
          <t>Insect (Arthropod)</t>
        </is>
      </c>
      <c r="N331" s="41" t="inlineStr">
        <is>
          <t>Tree &amp; Plant</t>
        </is>
      </c>
      <c r="O331" s="41" t="inlineStr">
        <is>
          <t>Any</t>
        </is>
      </c>
      <c r="P331" s="42" t="inlineStr">
        <is>
          <t>The Forgotten (ghosts, hexes and the restless dead)</t>
        </is>
      </c>
      <c r="Q331" s="41" t="inlineStr">
        <is>
          <t>Later world</t>
        </is>
      </c>
    </row>
    <row r="332" ht="15" customHeight="1" s="39">
      <c r="A332" s="41" t="inlineStr">
        <is>
          <t>Later worlds (kept out of the first world)</t>
        </is>
      </c>
      <c r="B332" s="41" t="n"/>
      <c r="C332" s="41" t="inlineStr">
        <is>
          <t>Quarry Troll</t>
        </is>
      </c>
      <c r="D332" s="41" t="inlineStr">
        <is>
          <t>quarry-troll</t>
        </is>
      </c>
      <c r="E332" s="41" t="n"/>
      <c r="F332" s="41" t="inlineStr">
        <is>
          <t>Rare</t>
        </is>
      </c>
      <c r="G332" s="41" t="n">
        <v>2</v>
      </c>
      <c r="H332" s="41" t="n">
        <v>2</v>
      </c>
      <c r="I332" s="41" t="n">
        <v>3</v>
      </c>
      <c r="J332" s="41" t="n">
        <v>16</v>
      </c>
      <c r="K332" s="42" t="inlineStr">
        <is>
          <t>Rock-solid, Darksight</t>
        </is>
      </c>
      <c r="L332" s="41" t="n"/>
      <c r="M332" s="41" t="inlineStr">
        <is>
          <t>Elemental</t>
        </is>
      </c>
      <c r="N332" s="41" t="inlineStr">
        <is>
          <t>Elemental</t>
        </is>
      </c>
      <c r="O332" s="41" t="inlineStr">
        <is>
          <t>Cave</t>
        </is>
      </c>
      <c r="P332" s="42" t="inlineStr">
        <is>
          <t>Troll: no trolls in the first world</t>
        </is>
      </c>
      <c r="Q332" s="41" t="inlineStr">
        <is>
          <t>Later world</t>
        </is>
      </c>
    </row>
    <row r="333" ht="15" customHeight="1" s="39">
      <c r="A333" s="41" t="inlineStr">
        <is>
          <t>Later worlds (kept out of the first world)</t>
        </is>
      </c>
      <c r="B333" s="41" t="n"/>
      <c r="C333" s="41" t="inlineStr">
        <is>
          <t>Ashbone Ghoul</t>
        </is>
      </c>
      <c r="D333" s="41" t="inlineStr">
        <is>
          <t>ashbone-ghoul</t>
        </is>
      </c>
      <c r="E333" s="41" t="n"/>
      <c r="F333" s="41" t="inlineStr">
        <is>
          <t>Common</t>
        </is>
      </c>
      <c r="G333" s="41" t="n">
        <v>0</v>
      </c>
      <c r="H333" s="41" t="n">
        <v>1</v>
      </c>
      <c r="I333" s="41" t="n">
        <v>3</v>
      </c>
      <c r="J333" s="41" t="n">
        <v>6</v>
      </c>
      <c r="K333" s="42" t="inlineStr">
        <is>
          <t>Remember 2, Fade</t>
        </is>
      </c>
      <c r="L333" s="41" t="n"/>
      <c r="M333" s="41" t="inlineStr">
        <is>
          <t>Undead</t>
        </is>
      </c>
      <c r="N333" s="41" t="inlineStr">
        <is>
          <t>Undead</t>
        </is>
      </c>
      <c r="O333" s="41" t="inlineStr">
        <is>
          <t>Volcano</t>
        </is>
      </c>
      <c r="P333" s="42" t="inlineStr">
        <is>
          <t>Undead</t>
        </is>
      </c>
      <c r="Q333" s="41" t="inlineStr">
        <is>
          <t>Later world</t>
        </is>
      </c>
    </row>
    <row r="334" ht="15" customHeight="1" s="39">
      <c r="A334" s="41" t="inlineStr">
        <is>
          <t>Later worlds (kept out of the first world)</t>
        </is>
      </c>
      <c r="B334" s="41" t="n"/>
      <c r="C334" s="41" t="inlineStr">
        <is>
          <t>Cinder Skeleton</t>
        </is>
      </c>
      <c r="D334" s="41" t="inlineStr">
        <is>
          <t>cinder-skeleton</t>
        </is>
      </c>
      <c r="E334" s="41" t="n"/>
      <c r="F334" s="41" t="inlineStr">
        <is>
          <t>Common</t>
        </is>
      </c>
      <c r="G334" s="41" t="n">
        <v>1</v>
      </c>
      <c r="H334" s="41" t="n">
        <v>0</v>
      </c>
      <c r="I334" s="41" t="n">
        <v>4</v>
      </c>
      <c r="J334" s="41" t="n">
        <v>5</v>
      </c>
      <c r="K334" s="42" t="inlineStr">
        <is>
          <t>Revivificated</t>
        </is>
      </c>
      <c r="L334" s="41" t="n"/>
      <c r="M334" s="41" t="inlineStr">
        <is>
          <t>Undead</t>
        </is>
      </c>
      <c r="N334" s="41" t="inlineStr">
        <is>
          <t>Undead</t>
        </is>
      </c>
      <c r="O334" s="41" t="inlineStr">
        <is>
          <t>Volcano</t>
        </is>
      </c>
      <c r="P334" s="42" t="inlineStr">
        <is>
          <t>Undead</t>
        </is>
      </c>
      <c r="Q334" s="41" t="inlineStr">
        <is>
          <t>Later world</t>
        </is>
      </c>
    </row>
    <row r="335" ht="15" customHeight="1" s="39">
      <c r="A335" s="41" t="inlineStr">
        <is>
          <t>Later worlds (kept out of the first world)</t>
        </is>
      </c>
      <c r="B335" s="41" t="n"/>
      <c r="C335" s="41" t="inlineStr">
        <is>
          <t>Ember Revenant</t>
        </is>
      </c>
      <c r="D335" s="41" t="inlineStr">
        <is>
          <t>ember-revenant</t>
        </is>
      </c>
      <c r="E335" s="41" t="n"/>
      <c r="F335" s="41" t="inlineStr">
        <is>
          <t>Epic</t>
        </is>
      </c>
      <c r="G335" s="41" t="n">
        <v>2</v>
      </c>
      <c r="H335" s="41" t="n">
        <v>1</v>
      </c>
      <c r="I335" s="41" t="n">
        <v>7</v>
      </c>
      <c r="J335" s="41" t="n">
        <v>22</v>
      </c>
      <c r="K335" s="42" t="inlineStr">
        <is>
          <t>Revivificated, Armor 2, Pierce 1</t>
        </is>
      </c>
      <c r="L335" s="41" t="n"/>
      <c r="M335" s="41" t="inlineStr">
        <is>
          <t>Undead</t>
        </is>
      </c>
      <c r="N335" s="41" t="inlineStr">
        <is>
          <t>Undead</t>
        </is>
      </c>
      <c r="O335" s="41" t="inlineStr">
        <is>
          <t>Volcano</t>
        </is>
      </c>
      <c r="P335" s="42" t="inlineStr">
        <is>
          <t>Undead</t>
        </is>
      </c>
      <c r="Q335" s="41" t="inlineStr">
        <is>
          <t>Later world</t>
        </is>
      </c>
    </row>
    <row r="336" ht="15" customHeight="1" s="39">
      <c r="A336" s="41" t="inlineStr">
        <is>
          <t>Later worlds (kept out of the first world)</t>
        </is>
      </c>
      <c r="B336" s="41" t="n"/>
      <c r="C336" s="41" t="inlineStr">
        <is>
          <t>Magma Wraith</t>
        </is>
      </c>
      <c r="D336" s="41" t="inlineStr">
        <is>
          <t>magma-wraith</t>
        </is>
      </c>
      <c r="E336" s="41" t="n"/>
      <c r="F336" s="41" t="inlineStr">
        <is>
          <t>Uncommon</t>
        </is>
      </c>
      <c r="G336" s="41" t="n">
        <v>1</v>
      </c>
      <c r="H336" s="41" t="n">
        <v>1</v>
      </c>
      <c r="I336" s="41" t="n">
        <v>1</v>
      </c>
      <c r="J336" s="41" t="n">
        <v>9</v>
      </c>
      <c r="K336" s="42" t="inlineStr">
        <is>
          <t>Evasive, Fire Arrow 2</t>
        </is>
      </c>
      <c r="L336" s="41" t="n"/>
      <c r="M336" s="41" t="inlineStr">
        <is>
          <t>Undead</t>
        </is>
      </c>
      <c r="N336" s="41" t="inlineStr">
        <is>
          <t>Undead</t>
        </is>
      </c>
      <c r="O336" s="41" t="inlineStr">
        <is>
          <t>Volcano</t>
        </is>
      </c>
      <c r="P336" s="42" t="inlineStr">
        <is>
          <t>Undead</t>
        </is>
      </c>
      <c r="Q336" s="41" t="inlineStr">
        <is>
          <t>Later world</t>
        </is>
      </c>
    </row>
    <row r="337" ht="15" customHeight="1" s="39">
      <c r="A337" s="41" t="inlineStr">
        <is>
          <t>Later worlds (kept out of the first world)</t>
        </is>
      </c>
      <c r="B337" s="41" t="n"/>
      <c r="C337" s="41" t="inlineStr">
        <is>
          <t>Obsidian Lich</t>
        </is>
      </c>
      <c r="D337" s="41" t="inlineStr">
        <is>
          <t>obsidian-lich</t>
        </is>
      </c>
      <c r="E337" s="41" t="n"/>
      <c r="F337" s="41" t="inlineStr">
        <is>
          <t>Rare</t>
        </is>
      </c>
      <c r="G337" s="41" t="n">
        <v>2</v>
      </c>
      <c r="H337" s="41" t="n">
        <v>2</v>
      </c>
      <c r="I337" s="41" t="n">
        <v>5</v>
      </c>
      <c r="J337" s="41" t="n">
        <v>18</v>
      </c>
      <c r="K337" s="42" t="inlineStr">
        <is>
          <t>Regeneration 2, Armor 2</t>
        </is>
      </c>
      <c r="L337" s="41" t="n"/>
      <c r="M337" s="41" t="inlineStr">
        <is>
          <t>Undead</t>
        </is>
      </c>
      <c r="N337" s="41" t="inlineStr">
        <is>
          <t>Undead</t>
        </is>
      </c>
      <c r="O337" s="41" t="inlineStr">
        <is>
          <t>Volcano</t>
        </is>
      </c>
      <c r="P337" s="42" t="inlineStr">
        <is>
          <t>Undead</t>
        </is>
      </c>
      <c r="Q337" s="41" t="inlineStr">
        <is>
          <t>Later world</t>
        </is>
      </c>
    </row>
    <row r="338" ht="15" customHeight="1" s="39">
      <c r="A338" s="41" t="inlineStr">
        <is>
          <t>Later worlds (kept out of the first world)</t>
        </is>
      </c>
      <c r="B338" s="41" t="n"/>
      <c r="C338" s="41" t="inlineStr">
        <is>
          <t>Ironmaw Warwolf</t>
        </is>
      </c>
      <c r="D338" s="41" t="inlineStr">
        <is>
          <t>ironmaw-warwolf</t>
        </is>
      </c>
      <c r="E338" s="41" t="n"/>
      <c r="F338" s="41" t="inlineStr">
        <is>
          <t>Epic</t>
        </is>
      </c>
      <c r="G338" s="41" t="n">
        <v>3</v>
      </c>
      <c r="H338" s="41" t="n">
        <v>2</v>
      </c>
      <c r="I338" s="41" t="n">
        <v>9</v>
      </c>
      <c r="J338" s="41" t="n">
        <v>26</v>
      </c>
      <c r="K338" s="42" t="inlineStr">
        <is>
          <t>Bleed 2, Armor 2, Fork</t>
        </is>
      </c>
      <c r="L338" s="41" t="n"/>
      <c r="M338" s="41" t="inlineStr">
        <is>
          <t>Canid &amp; Primate (Beast)</t>
        </is>
      </c>
      <c r="N338" s="41" t="inlineStr">
        <is>
          <t>Wolf</t>
        </is>
      </c>
      <c r="O338" s="41" t="inlineStr">
        <is>
          <t>Any</t>
        </is>
      </c>
      <c r="P338" s="42" t="inlineStr">
        <is>
          <t>Were-beasts and impossible creatures</t>
        </is>
      </c>
      <c r="Q338" s="41" t="inlineStr">
        <is>
          <t>Later world</t>
        </is>
      </c>
    </row>
    <row r="339" ht="15" customHeight="1" s="39">
      <c r="A339" s="41" t="inlineStr">
        <is>
          <t>Later worlds (kept out of the first world)</t>
        </is>
      </c>
      <c r="B339" s="41" t="n"/>
      <c r="C339" s="41" t="inlineStr">
        <is>
          <t>The Contradiction</t>
        </is>
      </c>
      <c r="D339" s="41" t="inlineStr">
        <is>
          <t>the-contradiction</t>
        </is>
      </c>
      <c r="E339" s="41" t="n"/>
      <c r="F339" s="41" t="inlineStr">
        <is>
          <t>Unique</t>
        </is>
      </c>
      <c r="G339" s="41" t="n">
        <v>3</v>
      </c>
      <c r="H339" s="41" t="n">
        <v>2</v>
      </c>
      <c r="I339" s="41" t="n">
        <v>7</v>
      </c>
      <c r="J339" s="41" t="n">
        <v>24</v>
      </c>
      <c r="K339" s="42" t="inlineStr">
        <is>
          <t>Bleed 2, Rage, Regeneration 2</t>
        </is>
      </c>
      <c r="L339" s="41" t="n"/>
      <c r="M339" s="41" t="inlineStr">
        <is>
          <t>Ursid (Beast)</t>
        </is>
      </c>
      <c r="N339" s="41" t="inlineStr">
        <is>
          <t>Bear</t>
        </is>
      </c>
      <c r="O339" s="41" t="inlineStr">
        <is>
          <t>Volcano</t>
        </is>
      </c>
      <c r="P339" s="42" t="inlineStr">
        <is>
          <t>Were-beasts and impossible creatures</t>
        </is>
      </c>
      <c r="Q339" s="41" t="inlineStr">
        <is>
          <t>Later world</t>
        </is>
      </c>
    </row>
    <row r="340" ht="15" customHeight="1" s="39">
      <c r="A340" s="41" t="inlineStr">
        <is>
          <t>Later worlds (kept out of the first world)</t>
        </is>
      </c>
      <c r="B340" s="41" t="n"/>
      <c r="C340" s="41" t="inlineStr">
        <is>
          <t>Weredog</t>
        </is>
      </c>
      <c r="D340" s="41" t="inlineStr">
        <is>
          <t>weredog</t>
        </is>
      </c>
      <c r="E340" s="41" t="n"/>
      <c r="F340" s="41" t="inlineStr">
        <is>
          <t>Rare</t>
        </is>
      </c>
      <c r="G340" s="41" t="n">
        <v>1</v>
      </c>
      <c r="H340" s="41" t="n">
        <v>1</v>
      </c>
      <c r="I340" s="41" t="n">
        <v>4</v>
      </c>
      <c r="J340" s="41" t="n">
        <v>7</v>
      </c>
      <c r="K340" s="42" t="inlineStr">
        <is>
          <t>Nocturnal 5</t>
        </is>
      </c>
      <c r="L340" s="41" t="n"/>
      <c r="M340" s="41" t="inlineStr">
        <is>
          <t>Canid (Beast)</t>
        </is>
      </c>
      <c r="N340" s="41" t="inlineStr">
        <is>
          <t>Dog</t>
        </is>
      </c>
      <c r="O340" s="41" t="inlineStr">
        <is>
          <t>Any</t>
        </is>
      </c>
      <c r="P340" s="42" t="inlineStr">
        <is>
          <t>Were-beasts and impossible creatures</t>
        </is>
      </c>
      <c r="Q340" s="41" t="inlineStr">
        <is>
          <t>Later world</t>
        </is>
      </c>
    </row>
    <row r="341" ht="23.25" customHeight="1" s="39">
      <c r="A341" s="41" t="inlineStr">
        <is>
          <t>Spare animals (not placed yet)</t>
        </is>
      </c>
      <c r="B341" s="41" t="n"/>
      <c r="C341" s="41" t="inlineStr">
        <is>
          <t>Ant Hill</t>
        </is>
      </c>
      <c r="D341" s="41" t="inlineStr">
        <is>
          <t>ant-hill</t>
        </is>
      </c>
      <c r="E341" s="41" t="n"/>
      <c r="F341" s="41" t="inlineStr">
        <is>
          <t>Common</t>
        </is>
      </c>
      <c r="G341" s="41" t="n">
        <v>2</v>
      </c>
      <c r="H341" s="41" t="n">
        <v>3</v>
      </c>
      <c r="I341" s="41" t="n">
        <v>5</v>
      </c>
      <c r="J341" s="41" t="n">
        <v>30</v>
      </c>
      <c r="K341" s="42" t="inlineStr">
        <is>
          <t>Lumber when Ready 1, Bounty 1</t>
        </is>
      </c>
      <c r="L341" s="41" t="n"/>
      <c r="M341" s="41" t="inlineStr">
        <is>
          <t>Insect (Arthropod)</t>
        </is>
      </c>
      <c r="N341" s="41" t="inlineStr">
        <is>
          <t>Ant &amp; Termite</t>
        </is>
      </c>
      <c r="O341" s="41" t="inlineStr">
        <is>
          <t>Any</t>
        </is>
      </c>
      <c r="P341" s="42" t="inlineStr">
        <is>
          <t>Spare Ant &amp; Termite: the first world already has 5 (a later world can use it)</t>
        </is>
      </c>
      <c r="Q341" s="41" t="inlineStr">
        <is>
          <t>Spare</t>
        </is>
      </c>
    </row>
    <row r="342" ht="23.25" customHeight="1" s="39">
      <c r="A342" s="41" t="inlineStr">
        <is>
          <t>Spare animals (not placed yet)</t>
        </is>
      </c>
      <c r="B342" s="41" t="n"/>
      <c r="C342" s="41" t="inlineStr">
        <is>
          <t>Ant Warrior</t>
        </is>
      </c>
      <c r="D342" s="41" t="inlineStr">
        <is>
          <t>ant-warrior</t>
        </is>
      </c>
      <c r="E342" s="41" t="n"/>
      <c r="F342" s="41" t="inlineStr">
        <is>
          <t>Uncommon</t>
        </is>
      </c>
      <c r="G342" s="41" t="n">
        <v>0</v>
      </c>
      <c r="H342" s="41" t="n">
        <v>0</v>
      </c>
      <c r="I342" s="41" t="n">
        <v>2</v>
      </c>
      <c r="J342" s="41" t="n">
        <v>3</v>
      </c>
      <c r="K342" s="42" t="inlineStr">
        <is>
          <t>Rage, Swarm</t>
        </is>
      </c>
      <c r="L342" s="41" t="n"/>
      <c r="M342" s="41" t="inlineStr">
        <is>
          <t>Insect (Arthropod)</t>
        </is>
      </c>
      <c r="N342" s="41" t="inlineStr">
        <is>
          <t>Ant &amp; Termite</t>
        </is>
      </c>
      <c r="O342" s="41" t="inlineStr">
        <is>
          <t>Any</t>
        </is>
      </c>
      <c r="P342" s="42" t="inlineStr">
        <is>
          <t>Spare Ant &amp; Termite: the first world already has 5 (a later world can use it)</t>
        </is>
      </c>
      <c r="Q342" s="41" t="inlineStr">
        <is>
          <t>Spare</t>
        </is>
      </c>
    </row>
    <row r="343" ht="23.25" customHeight="1" s="39">
      <c r="A343" s="41" t="inlineStr">
        <is>
          <t>Spare animals (not placed yet)</t>
        </is>
      </c>
      <c r="B343" s="41" t="n"/>
      <c r="C343" s="41" t="inlineStr">
        <is>
          <t>Colony</t>
        </is>
      </c>
      <c r="D343" s="41" t="inlineStr">
        <is>
          <t>colony</t>
        </is>
      </c>
      <c r="E343" s="41" t="n"/>
      <c r="F343" s="41" t="inlineStr">
        <is>
          <t>Rare</t>
        </is>
      </c>
      <c r="G343" s="41" t="n">
        <v>0</v>
      </c>
      <c r="H343" s="41" t="n">
        <v>0</v>
      </c>
      <c r="I343" s="41" t="n">
        <v>0</v>
      </c>
      <c r="J343" s="41" t="n">
        <v>20</v>
      </c>
      <c r="K343" s="42" t="inlineStr">
        <is>
          <t>Calls a swarmling when hit 1</t>
        </is>
      </c>
      <c r="L343" s="41" t="n"/>
      <c r="M343" s="41" t="inlineStr">
        <is>
          <t>Insect (Arthropod)</t>
        </is>
      </c>
      <c r="N343" s="41" t="inlineStr">
        <is>
          <t>Ant &amp; Termite</t>
        </is>
      </c>
      <c r="O343" s="41" t="inlineStr">
        <is>
          <t>Any</t>
        </is>
      </c>
      <c r="P343" s="42" t="inlineStr">
        <is>
          <t>Spare Ant &amp; Termite: the first world already has 5 (a later world can use it)</t>
        </is>
      </c>
      <c r="Q343" s="41" t="inlineStr">
        <is>
          <t>Spare</t>
        </is>
      </c>
    </row>
    <row r="344" ht="23.25" customHeight="1" s="39">
      <c r="A344" s="41" t="inlineStr">
        <is>
          <t>Spare animals (not placed yet)</t>
        </is>
      </c>
      <c r="B344" s="41" t="n"/>
      <c r="C344" s="41" t="inlineStr">
        <is>
          <t>Nest</t>
        </is>
      </c>
      <c r="D344" s="41" t="inlineStr">
        <is>
          <t>nest</t>
        </is>
      </c>
      <c r="E344" s="41" t="n"/>
      <c r="F344" s="41" t="inlineStr">
        <is>
          <t>Common</t>
        </is>
      </c>
      <c r="G344" s="41" t="n">
        <v>0</v>
      </c>
      <c r="H344" s="41" t="n">
        <v>0</v>
      </c>
      <c r="I344" s="41" t="n">
        <v>0</v>
      </c>
      <c r="J344" s="41" t="n">
        <v>18</v>
      </c>
      <c r="K344" s="42" t="inlineStr">
        <is>
          <t>Nursery 1</t>
        </is>
      </c>
      <c r="L344" s="41" t="n"/>
      <c r="M344" s="41" t="inlineStr">
        <is>
          <t>Insect (Arthropod)</t>
        </is>
      </c>
      <c r="N344" s="41" t="inlineStr">
        <is>
          <t>Ant &amp; Termite</t>
        </is>
      </c>
      <c r="O344" s="41" t="inlineStr">
        <is>
          <t>Any</t>
        </is>
      </c>
      <c r="P344" s="42" t="inlineStr">
        <is>
          <t>Spare Ant &amp; Termite: the first world already has 5 (a later world can use it)</t>
        </is>
      </c>
      <c r="Q344" s="41" t="inlineStr">
        <is>
          <t>Spare</t>
        </is>
      </c>
    </row>
    <row r="345" ht="23.25" customHeight="1" s="39">
      <c r="A345" s="41" t="inlineStr">
        <is>
          <t>Spare animals (not placed yet)</t>
        </is>
      </c>
      <c r="B345" s="41" t="n"/>
      <c r="C345" s="41" t="inlineStr">
        <is>
          <t>Termite Mound</t>
        </is>
      </c>
      <c r="D345" s="41" t="inlineStr">
        <is>
          <t>termite-mound</t>
        </is>
      </c>
      <c r="E345" s="41" t="n"/>
      <c r="F345" s="41" t="inlineStr">
        <is>
          <t>Common</t>
        </is>
      </c>
      <c r="G345" s="41" t="n">
        <v>1</v>
      </c>
      <c r="H345" s="41" t="n">
        <v>1</v>
      </c>
      <c r="I345" s="41" t="n">
        <v>0</v>
      </c>
      <c r="J345" s="41" t="n">
        <v>22</v>
      </c>
      <c r="K345" s="42" t="inlineStr">
        <is>
          <t>Armor 3</t>
        </is>
      </c>
      <c r="L345" s="41" t="n"/>
      <c r="M345" s="41" t="inlineStr">
        <is>
          <t>Insect (Arthropod)</t>
        </is>
      </c>
      <c r="N345" s="41" t="inlineStr">
        <is>
          <t>Ant &amp; Termite</t>
        </is>
      </c>
      <c r="O345" s="41" t="inlineStr">
        <is>
          <t>Savanna</t>
        </is>
      </c>
      <c r="P345" s="42" t="inlineStr">
        <is>
          <t>Spare Ant &amp; Termite: the first world already has 5 (a later world can use it)</t>
        </is>
      </c>
      <c r="Q345" s="41" t="inlineStr">
        <is>
          <t>Spare</t>
        </is>
      </c>
    </row>
    <row r="346" ht="23.25" customHeight="1" s="39">
      <c r="A346" s="41" t="inlineStr">
        <is>
          <t>Spare animals (not placed yet)</t>
        </is>
      </c>
      <c r="B346" s="41" t="n"/>
      <c r="C346" s="41" t="inlineStr">
        <is>
          <t>Silverback Brawler</t>
        </is>
      </c>
      <c r="D346" s="41" t="inlineStr">
        <is>
          <t>silverback-brawler</t>
        </is>
      </c>
      <c r="E346" s="41" t="n"/>
      <c r="F346" s="41" t="inlineStr">
        <is>
          <t>Common</t>
        </is>
      </c>
      <c r="G346" s="41" t="n">
        <v>2</v>
      </c>
      <c r="H346" s="41" t="n">
        <v>3</v>
      </c>
      <c r="I346" s="41" t="n">
        <v>7</v>
      </c>
      <c r="J346" s="41" t="n">
        <v>30</v>
      </c>
      <c r="K346" s="42" t="inlineStr">
        <is>
          <t>Cleave 1, Bounty 1</t>
        </is>
      </c>
      <c r="L346" s="41" t="n"/>
      <c r="M346" s="41" t="inlineStr">
        <is>
          <t>Primate (Beast)</t>
        </is>
      </c>
      <c r="N346" s="41" t="inlineStr">
        <is>
          <t>Ape &amp; Monkey</t>
        </is>
      </c>
      <c r="O346" s="41" t="inlineStr">
        <is>
          <t>Any</t>
        </is>
      </c>
      <c r="P346" s="42" t="inlineStr">
        <is>
          <t>Spare Ape &amp; Monkey: the first world already has 5 (a later world can use it)</t>
        </is>
      </c>
      <c r="Q346" s="41" t="inlineStr">
        <is>
          <t>Spare</t>
        </is>
      </c>
    </row>
    <row r="347" ht="23.25" customHeight="1" s="39">
      <c r="A347" s="41" t="inlineStr">
        <is>
          <t>Spare animals (not placed yet)</t>
        </is>
      </c>
      <c r="B347" s="41" t="n"/>
      <c r="C347" s="41" t="inlineStr">
        <is>
          <t>War-Drum Mandrill</t>
        </is>
      </c>
      <c r="D347" s="41" t="inlineStr">
        <is>
          <t>war-drum-mandrill</t>
        </is>
      </c>
      <c r="E347" s="41" t="n"/>
      <c r="F347" s="41" t="inlineStr">
        <is>
          <t>Common</t>
        </is>
      </c>
      <c r="G347" s="41" t="n">
        <v>2</v>
      </c>
      <c r="H347" s="41" t="n">
        <v>1</v>
      </c>
      <c r="I347" s="41" t="n">
        <v>4</v>
      </c>
      <c r="J347" s="41" t="n">
        <v>16</v>
      </c>
      <c r="K347" s="42" t="inlineStr">
        <is>
          <t>—</t>
        </is>
      </c>
      <c r="L347" s="41" t="n"/>
      <c r="M347" s="41" t="inlineStr">
        <is>
          <t>Primate (Beast)</t>
        </is>
      </c>
      <c r="N347" s="41" t="inlineStr">
        <is>
          <t>Ape &amp; Monkey</t>
        </is>
      </c>
      <c r="O347" s="41" t="inlineStr">
        <is>
          <t>Rainforest</t>
        </is>
      </c>
      <c r="P347" s="42" t="inlineStr">
        <is>
          <t>Spare Ape &amp; Monkey: the first world already has 5 (a later world can use it)</t>
        </is>
      </c>
      <c r="Q347" s="41" t="inlineStr">
        <is>
          <t>Spare</t>
        </is>
      </c>
    </row>
    <row r="348" ht="23.25" customHeight="1" s="39">
      <c r="A348" s="41" t="inlineStr">
        <is>
          <t>Spare animals (not placed yet)</t>
        </is>
      </c>
      <c r="B348" s="41" t="n"/>
      <c r="C348" s="41" t="inlineStr">
        <is>
          <t>Badger Lumberjack</t>
        </is>
      </c>
      <c r="D348" s="41" t="inlineStr">
        <is>
          <t>badger-lumberjack</t>
        </is>
      </c>
      <c r="E348" s="41" t="n"/>
      <c r="F348" s="41" t="inlineStr">
        <is>
          <t>Uncommon</t>
        </is>
      </c>
      <c r="G348" s="41" t="n">
        <v>1</v>
      </c>
      <c r="H348" s="41" t="n">
        <v>1</v>
      </c>
      <c r="I348" s="41" t="n">
        <v>2</v>
      </c>
      <c r="J348" s="41" t="n">
        <v>10</v>
      </c>
      <c r="K348" s="42" t="inlineStr">
        <is>
          <t>Lumberjack</t>
        </is>
      </c>
      <c r="L348" s="41" t="n"/>
      <c r="M348" s="41" t="inlineStr">
        <is>
          <t>Mustelid (Beast)</t>
        </is>
      </c>
      <c r="N348" s="41" t="inlineStr">
        <is>
          <t>Badger</t>
        </is>
      </c>
      <c r="O348" s="41" t="inlineStr">
        <is>
          <t>Any</t>
        </is>
      </c>
      <c r="P348" s="42" t="inlineStr">
        <is>
          <t>Spare Badger: the first world already has 3 (a later world can use it)</t>
        </is>
      </c>
      <c r="Q348" s="41" t="inlineStr">
        <is>
          <t>Spare</t>
        </is>
      </c>
    </row>
    <row r="349" ht="23.25" customHeight="1" s="39">
      <c r="A349" s="41" t="inlineStr">
        <is>
          <t>Spare animals (not placed yet)</t>
        </is>
      </c>
      <c r="B349" s="41" t="n"/>
      <c r="C349" s="41" t="inlineStr">
        <is>
          <t>Badger Sapper</t>
        </is>
      </c>
      <c r="D349" s="41" t="inlineStr">
        <is>
          <t>badger-sapper</t>
        </is>
      </c>
      <c r="E349" s="41" t="n"/>
      <c r="F349" s="41" t="inlineStr">
        <is>
          <t>Common</t>
        </is>
      </c>
      <c r="G349" s="41" t="n">
        <v>2</v>
      </c>
      <c r="H349" s="41" t="n">
        <v>2</v>
      </c>
      <c r="I349" s="41" t="n">
        <v>7</v>
      </c>
      <c r="J349" s="41" t="n">
        <v>24</v>
      </c>
      <c r="K349" s="42" t="inlineStr">
        <is>
          <t>Bounty 1, Demolisher 2</t>
        </is>
      </c>
      <c r="L349" s="41" t="n"/>
      <c r="M349" s="41" t="inlineStr">
        <is>
          <t>Mustelid (Beast)</t>
        </is>
      </c>
      <c r="N349" s="41" t="inlineStr">
        <is>
          <t>Badger</t>
        </is>
      </c>
      <c r="O349" s="41" t="inlineStr">
        <is>
          <t>Any</t>
        </is>
      </c>
      <c r="P349" s="42" t="inlineStr">
        <is>
          <t>Spare Badger: the first world already has 3 (a later world can use it)</t>
        </is>
      </c>
      <c r="Q349" s="41" t="inlineStr">
        <is>
          <t>Spare</t>
        </is>
      </c>
    </row>
    <row r="350" ht="23.25" customHeight="1" s="39">
      <c r="A350" s="41" t="inlineStr">
        <is>
          <t>Spare animals (not placed yet)</t>
        </is>
      </c>
      <c r="B350" s="41" t="n"/>
      <c r="C350" s="41" t="inlineStr">
        <is>
          <t>Parish Sergeant</t>
        </is>
      </c>
      <c r="D350" s="41" t="inlineStr">
        <is>
          <t>parish-sergeant</t>
        </is>
      </c>
      <c r="E350" s="41" t="n"/>
      <c r="F350" s="41" t="inlineStr">
        <is>
          <t>Uncommon</t>
        </is>
      </c>
      <c r="G350" s="41" t="n">
        <v>1</v>
      </c>
      <c r="H350" s="41" t="n">
        <v>1</v>
      </c>
      <c r="I350" s="41" t="n">
        <v>3</v>
      </c>
      <c r="J350" s="41" t="n">
        <v>7</v>
      </c>
      <c r="K350" s="42" t="inlineStr">
        <is>
          <t>Rally 1</t>
        </is>
      </c>
      <c r="L350" s="41" t="n"/>
      <c r="M350" s="41" t="inlineStr">
        <is>
          <t>Mustelid (Beast)</t>
        </is>
      </c>
      <c r="N350" s="41" t="inlineStr">
        <is>
          <t>Badger</t>
        </is>
      </c>
      <c r="O350" s="41" t="inlineStr">
        <is>
          <t>Village and farm</t>
        </is>
      </c>
      <c r="P350" s="42" t="inlineStr">
        <is>
          <t>Spare Badger: the first world already has 3 (a later world can use it)</t>
        </is>
      </c>
      <c r="Q350" s="41" t="inlineStr">
        <is>
          <t>Spare</t>
        </is>
      </c>
    </row>
    <row r="351" ht="23.25" customHeight="1" s="39">
      <c r="A351" s="41" t="inlineStr">
        <is>
          <t>Spare animals (not placed yet)</t>
        </is>
      </c>
      <c r="B351" s="41" t="n"/>
      <c r="C351" s="41" t="inlineStr">
        <is>
          <t>Sworn Shieldbearer</t>
        </is>
      </c>
      <c r="D351" s="41" t="inlineStr">
        <is>
          <t>sworn-shieldbearer</t>
        </is>
      </c>
      <c r="E351" s="41" t="n"/>
      <c r="F351" s="41" t="inlineStr">
        <is>
          <t>Uncommon</t>
        </is>
      </c>
      <c r="G351" s="41" t="n">
        <v>1</v>
      </c>
      <c r="H351" s="41" t="n">
        <v>1</v>
      </c>
      <c r="I351" s="41" t="n">
        <v>2</v>
      </c>
      <c r="J351" s="41" t="n">
        <v>12</v>
      </c>
      <c r="K351" s="42" t="inlineStr">
        <is>
          <t>Loyal 1/3</t>
        </is>
      </c>
      <c r="L351" s="41" t="n"/>
      <c r="M351" s="41" t="inlineStr">
        <is>
          <t>Mustelid (Beast)</t>
        </is>
      </c>
      <c r="N351" s="41" t="inlineStr">
        <is>
          <t>Badger</t>
        </is>
      </c>
      <c r="O351" s="41" t="inlineStr">
        <is>
          <t>Village and farm</t>
        </is>
      </c>
      <c r="P351" s="42" t="inlineStr">
        <is>
          <t>Spare Badger: the first world already has 3 (a later world can use it)</t>
        </is>
      </c>
      <c r="Q351" s="41" t="inlineStr">
        <is>
          <t>Spare</t>
        </is>
      </c>
    </row>
    <row r="352" ht="15" customHeight="1" s="39">
      <c r="A352" s="41" t="inlineStr">
        <is>
          <t>Spare animals (not placed yet)</t>
        </is>
      </c>
      <c r="B352" s="41" t="n"/>
      <c r="C352" s="41" t="inlineStr">
        <is>
          <t>Barrow Leech</t>
        </is>
      </c>
      <c r="D352" s="41" t="inlineStr">
        <is>
          <t>barrow-leech-bat</t>
        </is>
      </c>
      <c r="E352" s="41" t="n"/>
      <c r="F352" s="41" t="inlineStr">
        <is>
          <t>Rare</t>
        </is>
      </c>
      <c r="G352" s="41" t="n">
        <v>1</v>
      </c>
      <c r="H352" s="41" t="n">
        <v>0</v>
      </c>
      <c r="I352" s="41" t="n">
        <v>2</v>
      </c>
      <c r="J352" s="41" t="n">
        <v>7</v>
      </c>
      <c r="K352" s="42" t="inlineStr">
        <is>
          <t>Sap, Flying, Nocturnal</t>
        </is>
      </c>
      <c r="L352" s="41" t="n"/>
      <c r="M352" s="41" t="inlineStr">
        <is>
          <t>Bat (Beast)</t>
        </is>
      </c>
      <c r="N352" s="41" t="inlineStr">
        <is>
          <t>Bat</t>
        </is>
      </c>
      <c r="O352" s="41" t="inlineStr">
        <is>
          <t>Cave</t>
        </is>
      </c>
      <c r="P352" s="42" t="inlineStr">
        <is>
          <t>Spare Bat: the first world already has 5 (a later world can use it)</t>
        </is>
      </c>
      <c r="Q352" s="41" t="inlineStr">
        <is>
          <t>Spare</t>
        </is>
      </c>
    </row>
    <row r="353" ht="15" customHeight="1" s="39">
      <c r="A353" s="41" t="inlineStr">
        <is>
          <t>Spare animals (not placed yet)</t>
        </is>
      </c>
      <c r="B353" s="41" t="n"/>
      <c r="C353" s="41" t="inlineStr">
        <is>
          <t>Cave Flitter</t>
        </is>
      </c>
      <c r="D353" s="41" t="inlineStr">
        <is>
          <t>cave-flitter</t>
        </is>
      </c>
      <c r="E353" s="41" t="n"/>
      <c r="F353" s="41" t="inlineStr">
        <is>
          <t>Rare</t>
        </is>
      </c>
      <c r="G353" s="41" t="n">
        <v>0</v>
      </c>
      <c r="H353" s="41" t="n">
        <v>0</v>
      </c>
      <c r="I353" s="41" t="n">
        <v>3</v>
      </c>
      <c r="J353" s="41" t="n">
        <v>3</v>
      </c>
      <c r="K353" s="42" t="inlineStr">
        <is>
          <t>Flying, Nocturnal</t>
        </is>
      </c>
      <c r="L353" s="41" t="n"/>
      <c r="M353" s="41" t="inlineStr">
        <is>
          <t>Bat (Beast)</t>
        </is>
      </c>
      <c r="N353" s="41" t="inlineStr">
        <is>
          <t>Bat</t>
        </is>
      </c>
      <c r="O353" s="41" t="inlineStr">
        <is>
          <t>Any</t>
        </is>
      </c>
      <c r="P353" s="42" t="inlineStr">
        <is>
          <t>Spare Bat: the first world already has 5 (a later world can use it)</t>
        </is>
      </c>
      <c r="Q353" s="41" t="inlineStr">
        <is>
          <t>Spare</t>
        </is>
      </c>
    </row>
    <row r="354" ht="23.25" customHeight="1" s="39">
      <c r="A354" s="41" t="inlineStr">
        <is>
          <t>Spare animals (not placed yet)</t>
        </is>
      </c>
      <c r="B354" s="41" t="n"/>
      <c r="C354" s="41" t="inlineStr">
        <is>
          <t>Cave Bear</t>
        </is>
      </c>
      <c r="D354" s="41" t="inlineStr">
        <is>
          <t>deep-cave-troll</t>
        </is>
      </c>
      <c r="E354" s="41" t="n"/>
      <c r="F354" s="41" t="inlineStr">
        <is>
          <t>Common</t>
        </is>
      </c>
      <c r="G354" s="41" t="n">
        <v>3</v>
      </c>
      <c r="H354" s="41" t="n">
        <v>2</v>
      </c>
      <c r="I354" s="41" t="n">
        <v>8</v>
      </c>
      <c r="J354" s="41" t="n">
        <v>28</v>
      </c>
      <c r="K354" s="42" t="inlineStr">
        <is>
          <t>Rage, Siege 4, Darksight</t>
        </is>
      </c>
      <c r="L354" s="41" t="n"/>
      <c r="M354" s="41" t="inlineStr">
        <is>
          <t>Ursid (Beast)</t>
        </is>
      </c>
      <c r="N354" s="41" t="inlineStr">
        <is>
          <t>Bear</t>
        </is>
      </c>
      <c r="O354" s="41" t="inlineStr">
        <is>
          <t>Cave</t>
        </is>
      </c>
      <c r="P354" s="42" t="inlineStr">
        <is>
          <t>Spare Bear: the first world already has 4 (a later world can use it)</t>
        </is>
      </c>
      <c r="Q354" s="41" t="inlineStr">
        <is>
          <t>Spare</t>
        </is>
      </c>
    </row>
    <row r="355" ht="23.25" customHeight="1" s="39">
      <c r="A355" s="41" t="inlineStr">
        <is>
          <t>Spare animals (not placed yet)</t>
        </is>
      </c>
      <c r="B355" s="41" t="n"/>
      <c r="C355" s="41" t="inlineStr">
        <is>
          <t>Cave Warlord</t>
        </is>
      </c>
      <c r="D355" s="41" t="inlineStr">
        <is>
          <t>cave-warlord</t>
        </is>
      </c>
      <c r="E355" s="41" t="n"/>
      <c r="F355" s="41" t="inlineStr">
        <is>
          <t>Common</t>
        </is>
      </c>
      <c r="G355" s="41" t="n">
        <v>4</v>
      </c>
      <c r="H355" s="41" t="n">
        <v>5</v>
      </c>
      <c r="I355" s="41" t="n">
        <v>12</v>
      </c>
      <c r="J355" s="41" t="n">
        <v>58</v>
      </c>
      <c r="K355" s="42" t="inlineStr">
        <is>
          <t>Ready Strike 8, Bounty 1, Daunt 2</t>
        </is>
      </c>
      <c r="L355" s="41" t="n"/>
      <c r="M355" s="41" t="inlineStr">
        <is>
          <t>Ursid (Beast)</t>
        </is>
      </c>
      <c r="N355" s="41" t="inlineStr">
        <is>
          <t>Bear</t>
        </is>
      </c>
      <c r="O355" s="41" t="inlineStr">
        <is>
          <t>Any</t>
        </is>
      </c>
      <c r="P355" s="42" t="inlineStr">
        <is>
          <t>Spare Bear: the first world already has 4 (a later world can use it)</t>
        </is>
      </c>
      <c r="Q355" s="41" t="inlineStr">
        <is>
          <t>Spare</t>
        </is>
      </c>
    </row>
    <row r="356" ht="23.25" customHeight="1" s="39">
      <c r="A356" s="41" t="inlineStr">
        <is>
          <t>Spare animals (not placed yet)</t>
        </is>
      </c>
      <c r="B356" s="41" t="n"/>
      <c r="C356" s="41" t="inlineStr">
        <is>
          <t>Lodge Engineer</t>
        </is>
      </c>
      <c r="D356" s="41" t="inlineStr">
        <is>
          <t>lodge-engineer</t>
        </is>
      </c>
      <c r="E356" s="41" t="n"/>
      <c r="F356" s="41" t="inlineStr">
        <is>
          <t>Uncommon</t>
        </is>
      </c>
      <c r="G356" s="41" t="n">
        <v>2</v>
      </c>
      <c r="H356" s="41" t="n">
        <v>2</v>
      </c>
      <c r="I356" s="41" t="n">
        <v>5</v>
      </c>
      <c r="J356" s="41" t="n">
        <v>26</v>
      </c>
      <c r="K356" s="42" t="inlineStr">
        <is>
          <t>Lumber when Ready 1, Bounty 1</t>
        </is>
      </c>
      <c r="L356" s="41" t="n"/>
      <c r="M356" s="41" t="inlineStr">
        <is>
          <t>Rodent (Beast)</t>
        </is>
      </c>
      <c r="N356" s="41" t="inlineStr">
        <is>
          <t>Beaver</t>
        </is>
      </c>
      <c r="O356" s="41" t="inlineStr">
        <is>
          <t>Any</t>
        </is>
      </c>
      <c r="P356" s="42" t="inlineStr">
        <is>
          <t>Spare Beaver: the first world already has 3 (a later world can use it)</t>
        </is>
      </c>
      <c r="Q356" s="41" t="inlineStr">
        <is>
          <t>Spare</t>
        </is>
      </c>
    </row>
    <row r="357" ht="23.25" customHeight="1" s="39">
      <c r="A357" s="41" t="inlineStr">
        <is>
          <t>Spare animals (not placed yet)</t>
        </is>
      </c>
      <c r="B357" s="41" t="n"/>
      <c r="C357" s="41" t="inlineStr">
        <is>
          <t>Riverworks Bastion</t>
        </is>
      </c>
      <c r="D357" s="41" t="inlineStr">
        <is>
          <t>riverworks-bastion</t>
        </is>
      </c>
      <c r="E357" s="41" t="n"/>
      <c r="F357" s="41" t="inlineStr">
        <is>
          <t>Common</t>
        </is>
      </c>
      <c r="G357" s="41" t="n">
        <v>3</v>
      </c>
      <c r="H357" s="41" t="n">
        <v>3</v>
      </c>
      <c r="I357" s="41" t="n">
        <v>4</v>
      </c>
      <c r="J357" s="41" t="n">
        <v>48</v>
      </c>
      <c r="K357" s="42" t="inlineStr">
        <is>
          <t>Bounty 1, Worthy 2</t>
        </is>
      </c>
      <c r="L357" s="41" t="n"/>
      <c r="M357" s="41" t="inlineStr">
        <is>
          <t>Rodent (Beast)</t>
        </is>
      </c>
      <c r="N357" s="41" t="inlineStr">
        <is>
          <t>Beaver</t>
        </is>
      </c>
      <c r="O357" s="41" t="inlineStr">
        <is>
          <t>Any</t>
        </is>
      </c>
      <c r="P357" s="42" t="inlineStr">
        <is>
          <t>Spare Beaver: the first world already has 3 (a later world can use it)</t>
        </is>
      </c>
      <c r="Q357" s="41" t="inlineStr">
        <is>
          <t>Spare</t>
        </is>
      </c>
    </row>
    <row r="358" ht="23.25" customHeight="1" s="39">
      <c r="A358" s="41" t="inlineStr">
        <is>
          <t>Spare animals (not placed yet)</t>
        </is>
      </c>
      <c r="B358" s="41" t="n"/>
      <c r="C358" s="41" t="inlineStr">
        <is>
          <t>Bee Drone</t>
        </is>
      </c>
      <c r="D358" s="41" t="inlineStr">
        <is>
          <t>bee-drone</t>
        </is>
      </c>
      <c r="E358" s="41" t="n"/>
      <c r="F358" s="41" t="inlineStr">
        <is>
          <t>Rare</t>
        </is>
      </c>
      <c r="G358" s="41" t="n">
        <v>0</v>
      </c>
      <c r="H358" s="41" t="n">
        <v>0</v>
      </c>
      <c r="I358" s="41" t="n">
        <v>0</v>
      </c>
      <c r="J358" s="41" t="n">
        <v>4</v>
      </c>
      <c r="K358" s="42" t="inlineStr">
        <is>
          <t>Calls a swarmling when hit 1, Flying, Swarm, Diurnal</t>
        </is>
      </c>
      <c r="L358" s="41" t="n"/>
      <c r="M358" s="41" t="inlineStr">
        <is>
          <t>Insect (Arthropod)</t>
        </is>
      </c>
      <c r="N358" s="41" t="inlineStr">
        <is>
          <t>Bee &amp; Wasp</t>
        </is>
      </c>
      <c r="O358" s="41" t="inlineStr">
        <is>
          <t>Any</t>
        </is>
      </c>
      <c r="P358" s="42" t="inlineStr">
        <is>
          <t>Spare Bee &amp; Wasp: the first world already has 5 (a later world can use it)</t>
        </is>
      </c>
      <c r="Q358" s="41" t="inlineStr">
        <is>
          <t>Spare</t>
        </is>
      </c>
    </row>
    <row r="359" ht="23.25" customHeight="1" s="39">
      <c r="A359" s="41" t="inlineStr">
        <is>
          <t>Spare animals (not placed yet)</t>
        </is>
      </c>
      <c r="B359" s="41" t="n"/>
      <c r="C359" s="41" t="inlineStr">
        <is>
          <t>Creeper</t>
        </is>
      </c>
      <c r="D359" s="41" t="inlineStr">
        <is>
          <t>creeper</t>
        </is>
      </c>
      <c r="E359" s="41" t="n"/>
      <c r="F359" s="41" t="inlineStr">
        <is>
          <t>Common</t>
        </is>
      </c>
      <c r="G359" s="41" t="n">
        <v>0</v>
      </c>
      <c r="H359" s="41" t="n">
        <v>0</v>
      </c>
      <c r="I359" s="41" t="n">
        <v>1</v>
      </c>
      <c r="J359" s="41" t="n">
        <v>2</v>
      </c>
      <c r="K359" s="42" t="inlineStr">
        <is>
          <t>Flying, Swarm, Scare 1</t>
        </is>
      </c>
      <c r="L359" s="41" t="n"/>
      <c r="M359" s="41" t="inlineStr">
        <is>
          <t>Insect (Arthropod)</t>
        </is>
      </c>
      <c r="N359" s="41" t="inlineStr">
        <is>
          <t>Bee &amp; Wasp</t>
        </is>
      </c>
      <c r="O359" s="41" t="inlineStr">
        <is>
          <t>Any</t>
        </is>
      </c>
      <c r="P359" s="42" t="inlineStr">
        <is>
          <t>Spare Bee &amp; Wasp: the first world already has 5 (a later world can use it)</t>
        </is>
      </c>
      <c r="Q359" s="41" t="inlineStr">
        <is>
          <t>Spare</t>
        </is>
      </c>
    </row>
    <row r="360" ht="23.25" customHeight="1" s="39">
      <c r="A360" s="41" t="inlineStr">
        <is>
          <t>Spare animals (not placed yet)</t>
        </is>
      </c>
      <c r="B360" s="41" t="n"/>
      <c r="C360" s="41" t="inlineStr">
        <is>
          <t>Scraper of Skies</t>
        </is>
      </c>
      <c r="D360" s="41" t="inlineStr">
        <is>
          <t>scraper-of-skies</t>
        </is>
      </c>
      <c r="E360" s="41" t="n"/>
      <c r="F360" s="41" t="inlineStr">
        <is>
          <t>Common</t>
        </is>
      </c>
      <c r="G360" s="41" t="n">
        <v>2</v>
      </c>
      <c r="H360" s="41" t="n">
        <v>4</v>
      </c>
      <c r="I360" s="41" t="n">
        <v>0</v>
      </c>
      <c r="J360" s="41" t="n">
        <v>50</v>
      </c>
      <c r="K360" s="42" t="inlineStr">
        <is>
          <t>Bounty 1, Calls a swarmling when hit 1</t>
        </is>
      </c>
      <c r="L360" s="41" t="n"/>
      <c r="M360" s="41" t="inlineStr">
        <is>
          <t>Insect (Arthropod)</t>
        </is>
      </c>
      <c r="N360" s="41" t="inlineStr">
        <is>
          <t>Bee &amp; Wasp</t>
        </is>
      </c>
      <c r="O360" s="41" t="inlineStr">
        <is>
          <t>Any</t>
        </is>
      </c>
      <c r="P360" s="42" t="inlineStr">
        <is>
          <t>Spare Bee &amp; Wasp: the first world already has 5 (a later world can use it)</t>
        </is>
      </c>
      <c r="Q360" s="41" t="inlineStr">
        <is>
          <t>Spare</t>
        </is>
      </c>
    </row>
    <row r="361" ht="23.25" customHeight="1" s="39">
      <c r="A361" s="41" t="inlineStr">
        <is>
          <t>Spare animals (not placed yet)</t>
        </is>
      </c>
      <c r="B361" s="41" t="n"/>
      <c r="C361" s="41" t="inlineStr">
        <is>
          <t>Beetle Battering-Ram</t>
        </is>
      </c>
      <c r="D361" s="41" t="inlineStr">
        <is>
          <t>beetle-battering-ram</t>
        </is>
      </c>
      <c r="E361" s="41" t="n"/>
      <c r="F361" s="41" t="inlineStr">
        <is>
          <t>Rare</t>
        </is>
      </c>
      <c r="G361" s="41" t="n">
        <v>1</v>
      </c>
      <c r="H361" s="41" t="n">
        <v>2</v>
      </c>
      <c r="I361" s="41" t="n">
        <v>5</v>
      </c>
      <c r="J361" s="41" t="n">
        <v>20</v>
      </c>
      <c r="K361" s="42" t="inlineStr">
        <is>
          <t>Cleave 1, Bounty 1, Nocturnal, Demolisher 3</t>
        </is>
      </c>
      <c r="L361" s="41" t="n"/>
      <c r="M361" s="41" t="inlineStr">
        <is>
          <t>Insect (Arthropod)</t>
        </is>
      </c>
      <c r="N361" s="41" t="inlineStr">
        <is>
          <t>Beetle &amp; Bug</t>
        </is>
      </c>
      <c r="O361" s="41" t="inlineStr">
        <is>
          <t>Any</t>
        </is>
      </c>
      <c r="P361" s="42" t="inlineStr">
        <is>
          <t>Spare Beetle &amp; Bug: the first world already has 6 (a later world can use it)</t>
        </is>
      </c>
      <c r="Q361" s="41" t="inlineStr">
        <is>
          <t>Spare</t>
        </is>
      </c>
    </row>
    <row r="362" ht="23.25" customHeight="1" s="39">
      <c r="A362" s="41" t="inlineStr">
        <is>
          <t>Spare animals (not placed yet)</t>
        </is>
      </c>
      <c r="B362" s="41" t="n"/>
      <c r="C362" s="41" t="inlineStr">
        <is>
          <t>Carrion Fly Swarm</t>
        </is>
      </c>
      <c r="D362" s="41" t="inlineStr">
        <is>
          <t>carrion-fly-swarm</t>
        </is>
      </c>
      <c r="E362" s="41" t="n"/>
      <c r="F362" s="41" t="inlineStr">
        <is>
          <t>Rare</t>
        </is>
      </c>
      <c r="G362" s="41" t="n">
        <v>0</v>
      </c>
      <c r="H362" s="41" t="n">
        <v>1</v>
      </c>
      <c r="I362" s="41" t="n">
        <v>3</v>
      </c>
      <c r="J362" s="41" t="n">
        <v>5</v>
      </c>
      <c r="K362" s="42" t="inlineStr">
        <is>
          <t>Poison 1, Flying</t>
        </is>
      </c>
      <c r="L362" s="41" t="n"/>
      <c r="M362" s="41" t="inlineStr">
        <is>
          <t>Insect (Arthropod)</t>
        </is>
      </c>
      <c r="N362" s="41" t="inlineStr">
        <is>
          <t>Beetle &amp; Bug</t>
        </is>
      </c>
      <c r="O362" s="41" t="inlineStr">
        <is>
          <t>Any</t>
        </is>
      </c>
      <c r="P362" s="42" t="inlineStr">
        <is>
          <t>Spare Beetle &amp; Bug: the first world already has 6 (a later world can use it)</t>
        </is>
      </c>
      <c r="Q362" s="41" t="inlineStr">
        <is>
          <t>Spare</t>
        </is>
      </c>
    </row>
    <row r="363" ht="23.25" customHeight="1" s="39">
      <c r="A363" s="41" t="inlineStr">
        <is>
          <t>Spare animals (not placed yet)</t>
        </is>
      </c>
      <c r="B363" s="41" t="n"/>
      <c r="C363" s="41" t="inlineStr">
        <is>
          <t>Puddle Skimmer</t>
        </is>
      </c>
      <c r="D363" s="41" t="inlineStr">
        <is>
          <t>puddle-skimmer</t>
        </is>
      </c>
      <c r="E363" s="41" t="n"/>
      <c r="F363" s="41" t="inlineStr">
        <is>
          <t>Uncommon</t>
        </is>
      </c>
      <c r="G363" s="41" t="n">
        <v>0</v>
      </c>
      <c r="H363" s="41" t="n">
        <v>1</v>
      </c>
      <c r="I363" s="41" t="n">
        <v>2</v>
      </c>
      <c r="J363" s="41" t="n">
        <v>6</v>
      </c>
      <c r="K363" s="42" t="inlineStr">
        <is>
          <t>Rainrunner 2</t>
        </is>
      </c>
      <c r="L363" s="41" t="n"/>
      <c r="M363" s="41" t="inlineStr">
        <is>
          <t>Insect (Arthropod)</t>
        </is>
      </c>
      <c r="N363" s="41" t="inlineStr">
        <is>
          <t>Beetle &amp; Bug</t>
        </is>
      </c>
      <c r="O363" s="41" t="inlineStr">
        <is>
          <t>Any</t>
        </is>
      </c>
      <c r="P363" s="42" t="inlineStr">
        <is>
          <t>Spare Beetle &amp; Bug: the first world already has 6 (a later world can use it)</t>
        </is>
      </c>
      <c r="Q363" s="41" t="inlineStr">
        <is>
          <t>Spare</t>
        </is>
      </c>
    </row>
    <row r="364" ht="23.25" customHeight="1" s="39">
      <c r="A364" s="41" t="inlineStr">
        <is>
          <t>Spare animals (not placed yet)</t>
        </is>
      </c>
      <c r="B364" s="41" t="n"/>
      <c r="C364" s="41" t="inlineStr">
        <is>
          <t>Swarm Matriarch</t>
        </is>
      </c>
      <c r="D364" s="41" t="inlineStr">
        <is>
          <t>swarm-matriarch</t>
        </is>
      </c>
      <c r="E364" s="41" t="n"/>
      <c r="F364" s="41" t="inlineStr">
        <is>
          <t>Rare</t>
        </is>
      </c>
      <c r="G364" s="41" t="n">
        <v>1</v>
      </c>
      <c r="H364" s="41" t="n">
        <v>1</v>
      </c>
      <c r="I364" s="41" t="n">
        <v>2</v>
      </c>
      <c r="J364" s="41" t="n">
        <v>15</v>
      </c>
      <c r="K364" s="42" t="inlineStr">
        <is>
          <t>Esprit 1, Flying</t>
        </is>
      </c>
      <c r="L364" s="41" t="n"/>
      <c r="M364" s="41" t="inlineStr">
        <is>
          <t>Insect (Arthropod)</t>
        </is>
      </c>
      <c r="N364" s="41" t="inlineStr">
        <is>
          <t>Beetle &amp; Bug</t>
        </is>
      </c>
      <c r="O364" s="41" t="inlineStr">
        <is>
          <t>Any</t>
        </is>
      </c>
      <c r="P364" s="42" t="inlineStr">
        <is>
          <t>Spare Beetle &amp; Bug: the first world already has 6 (a later world can use it)</t>
        </is>
      </c>
      <c r="Q364" s="41" t="inlineStr">
        <is>
          <t>Spare</t>
        </is>
      </c>
    </row>
    <row r="365" ht="23.25" customHeight="1" s="39">
      <c r="A365" s="41" t="inlineStr">
        <is>
          <t>Spare animals (not placed yet)</t>
        </is>
      </c>
      <c r="B365" s="41" t="n"/>
      <c r="C365" s="41" t="inlineStr">
        <is>
          <t>Acacia Giraffe</t>
        </is>
      </c>
      <c r="D365" s="41" t="inlineStr">
        <is>
          <t>acacia-giraffe</t>
        </is>
      </c>
      <c r="E365" s="41" t="n"/>
      <c r="F365" s="41" t="inlineStr">
        <is>
          <t>Common</t>
        </is>
      </c>
      <c r="G365" s="41" t="n">
        <v>2</v>
      </c>
      <c r="H365" s="41" t="n">
        <v>2</v>
      </c>
      <c r="I365" s="41" t="n">
        <v>4</v>
      </c>
      <c r="J365" s="41" t="n">
        <v>20</v>
      </c>
      <c r="K365" s="42" t="inlineStr">
        <is>
          <t>Evasive</t>
        </is>
      </c>
      <c r="L365" s="41" t="n"/>
      <c r="M365" s="41" t="inlineStr">
        <is>
          <t>Megafauna (Beast)</t>
        </is>
      </c>
      <c r="N365" s="41" t="inlineStr">
        <is>
          <t>Big Beast</t>
        </is>
      </c>
      <c r="O365" s="41" t="inlineStr">
        <is>
          <t>Savanna</t>
        </is>
      </c>
      <c r="P365" s="42" t="inlineStr">
        <is>
          <t>Spare Big Beast: the first world already has 3 (a later world can use it)</t>
        </is>
      </c>
      <c r="Q365" s="41" t="inlineStr">
        <is>
          <t>Spare</t>
        </is>
      </c>
    </row>
    <row r="366" ht="23.25" customHeight="1" s="39">
      <c r="A366" s="41" t="inlineStr">
        <is>
          <t>Spare animals (not placed yet)</t>
        </is>
      </c>
      <c r="B366" s="41" t="n"/>
      <c r="C366" s="41" t="inlineStr">
        <is>
          <t>Boar Rampager</t>
        </is>
      </c>
      <c r="D366" s="41" t="inlineStr">
        <is>
          <t>boar-rampager</t>
        </is>
      </c>
      <c r="E366" s="41" t="n"/>
      <c r="F366" s="41" t="inlineStr">
        <is>
          <t>Rare</t>
        </is>
      </c>
      <c r="G366" s="41" t="n">
        <v>1</v>
      </c>
      <c r="H366" s="41" t="n">
        <v>2</v>
      </c>
      <c r="I366" s="41" t="n">
        <v>4</v>
      </c>
      <c r="J366" s="41" t="n">
        <v>14</v>
      </c>
      <c r="K366" s="42" t="inlineStr">
        <is>
          <t>Cleave 1, Bounty 1</t>
        </is>
      </c>
      <c r="L366" s="41" t="n"/>
      <c r="M366" s="41" t="inlineStr">
        <is>
          <t>Suid (Beast)</t>
        </is>
      </c>
      <c r="N366" s="41" t="inlineStr">
        <is>
          <t>Boar</t>
        </is>
      </c>
      <c r="O366" s="41" t="inlineStr">
        <is>
          <t>Any</t>
        </is>
      </c>
      <c r="P366" s="42" t="inlineStr">
        <is>
          <t>Spare Boar: the first world already has 3 (a later world can use it)</t>
        </is>
      </c>
      <c r="Q366" s="41" t="inlineStr">
        <is>
          <t>Spare</t>
        </is>
      </c>
    </row>
    <row r="367" ht="23.25" customHeight="1" s="39">
      <c r="A367" s="41" t="inlineStr">
        <is>
          <t>Spare animals (not placed yet)</t>
        </is>
      </c>
      <c r="B367" s="41" t="n"/>
      <c r="C367" s="41" t="inlineStr">
        <is>
          <t>Feral Tuskboar</t>
        </is>
      </c>
      <c r="D367" s="41" t="inlineStr">
        <is>
          <t>feral-tuskboar</t>
        </is>
      </c>
      <c r="E367" s="41" t="n"/>
      <c r="F367" s="41" t="inlineStr">
        <is>
          <t>Rare</t>
        </is>
      </c>
      <c r="G367" s="41" t="n">
        <v>1</v>
      </c>
      <c r="H367" s="41" t="n">
        <v>1</v>
      </c>
      <c r="I367" s="41" t="n">
        <v>3</v>
      </c>
      <c r="J367" s="41" t="n">
        <v>14</v>
      </c>
      <c r="K367" s="42" t="inlineStr">
        <is>
          <t>Toughen 1</t>
        </is>
      </c>
      <c r="L367" s="41" t="n"/>
      <c r="M367" s="41" t="inlineStr">
        <is>
          <t>Suid (Beast)</t>
        </is>
      </c>
      <c r="N367" s="41" t="inlineStr">
        <is>
          <t>Boar</t>
        </is>
      </c>
      <c r="O367" s="41" t="inlineStr">
        <is>
          <t>Any</t>
        </is>
      </c>
      <c r="P367" s="42" t="inlineStr">
        <is>
          <t>Spare Boar: the first world already has 3 (a later world can use it)</t>
        </is>
      </c>
      <c r="Q367" s="41" t="inlineStr">
        <is>
          <t>Spare</t>
        </is>
      </c>
    </row>
    <row r="368" ht="23.25" customHeight="1" s="39">
      <c r="A368" s="41" t="inlineStr">
        <is>
          <t>Spare animals (not placed yet)</t>
        </is>
      </c>
      <c r="B368" s="41" t="n"/>
      <c r="C368" s="41" t="inlineStr">
        <is>
          <t>Grindstone Boar</t>
        </is>
      </c>
      <c r="D368" s="41" t="inlineStr">
        <is>
          <t>grindstone-boar</t>
        </is>
      </c>
      <c r="E368" s="41" t="n"/>
      <c r="F368" s="41" t="inlineStr">
        <is>
          <t>Common</t>
        </is>
      </c>
      <c r="G368" s="41" t="n">
        <v>1</v>
      </c>
      <c r="H368" s="41" t="n">
        <v>1</v>
      </c>
      <c r="I368" s="41" t="n">
        <v>7</v>
      </c>
      <c r="J368" s="41" t="n">
        <v>20</v>
      </c>
      <c r="K368" s="42" t="inlineStr">
        <is>
          <t>Friction 2</t>
        </is>
      </c>
      <c r="L368" s="41" t="n"/>
      <c r="M368" s="41" t="inlineStr">
        <is>
          <t>Suid (Beast)</t>
        </is>
      </c>
      <c r="N368" s="41" t="inlineStr">
        <is>
          <t>Boar</t>
        </is>
      </c>
      <c r="O368" s="41" t="inlineStr">
        <is>
          <t>Any</t>
        </is>
      </c>
      <c r="P368" s="42" t="inlineStr">
        <is>
          <t>Spare Boar: the first world already has 3 (a later world can use it)</t>
        </is>
      </c>
      <c r="Q368" s="41" t="inlineStr">
        <is>
          <t>Spare</t>
        </is>
      </c>
    </row>
    <row r="369" ht="23.25" customHeight="1" s="39">
      <c r="A369" s="41" t="inlineStr">
        <is>
          <t>Spare animals (not placed yet)</t>
        </is>
      </c>
      <c r="B369" s="41" t="n"/>
      <c r="C369" s="41" t="inlineStr">
        <is>
          <t>Quill-Thorn Boar</t>
        </is>
      </c>
      <c r="D369" s="41" t="inlineStr">
        <is>
          <t>quill-thorn-boar</t>
        </is>
      </c>
      <c r="E369" s="41" t="n"/>
      <c r="F369" s="41" t="inlineStr">
        <is>
          <t>Rare</t>
        </is>
      </c>
      <c r="G369" s="41" t="n">
        <v>1</v>
      </c>
      <c r="H369" s="41" t="n">
        <v>1</v>
      </c>
      <c r="I369" s="41" t="n">
        <v>1</v>
      </c>
      <c r="J369" s="41" t="n">
        <v>14</v>
      </c>
      <c r="K369" s="42" t="inlineStr">
        <is>
          <t>Thorns 3</t>
        </is>
      </c>
      <c r="L369" s="41" t="n"/>
      <c r="M369" s="41" t="inlineStr">
        <is>
          <t>Suid (Beast)</t>
        </is>
      </c>
      <c r="N369" s="41" t="inlineStr">
        <is>
          <t>Boar</t>
        </is>
      </c>
      <c r="O369" s="41" t="inlineStr">
        <is>
          <t>Any</t>
        </is>
      </c>
      <c r="P369" s="42" t="inlineStr">
        <is>
          <t>Spare Boar: the first world already has 3 (a later world can use it)</t>
        </is>
      </c>
      <c r="Q369" s="41" t="inlineStr">
        <is>
          <t>Spare</t>
        </is>
      </c>
    </row>
    <row r="370" ht="15" customHeight="1" s="39">
      <c r="A370" s="41" t="inlineStr">
        <is>
          <t>Spare animals (not placed yet)</t>
        </is>
      </c>
      <c r="B370" s="41" t="n"/>
      <c r="C370" s="41" t="inlineStr">
        <is>
          <t>Alley Cat</t>
        </is>
      </c>
      <c r="D370" s="41" t="inlineStr">
        <is>
          <t>alley-cat</t>
        </is>
      </c>
      <c r="E370" s="41" t="n"/>
      <c r="F370" s="41" t="inlineStr">
        <is>
          <t>Rare</t>
        </is>
      </c>
      <c r="G370" s="41" t="n">
        <v>0</v>
      </c>
      <c r="H370" s="41" t="n">
        <v>0</v>
      </c>
      <c r="I370" s="41" t="n">
        <v>3</v>
      </c>
      <c r="J370" s="41" t="n">
        <v>4</v>
      </c>
      <c r="K370" s="42" t="inlineStr">
        <is>
          <t>—</t>
        </is>
      </c>
      <c r="L370" s="41" t="n"/>
      <c r="M370" s="41" t="inlineStr">
        <is>
          <t>Felid (Beast)</t>
        </is>
      </c>
      <c r="N370" s="41" t="inlineStr">
        <is>
          <t>Cat</t>
        </is>
      </c>
      <c r="O370" s="41" t="inlineStr">
        <is>
          <t>Any</t>
        </is>
      </c>
      <c r="P370" s="42" t="inlineStr">
        <is>
          <t>Spare Cat: the first world already has 5 (a later world can use it)</t>
        </is>
      </c>
      <c r="Q370" s="41" t="inlineStr">
        <is>
          <t>Spare</t>
        </is>
      </c>
    </row>
    <row r="371" ht="15" customHeight="1" s="39">
      <c r="A371" s="41" t="inlineStr">
        <is>
          <t>Spare animals (not placed yet)</t>
        </is>
      </c>
      <c r="B371" s="41" t="n"/>
      <c r="C371" s="41" t="inlineStr">
        <is>
          <t>Bramblewood Lynx</t>
        </is>
      </c>
      <c r="D371" s="41" t="inlineStr">
        <is>
          <t>bramblewood-lynx</t>
        </is>
      </c>
      <c r="E371" s="41" t="n"/>
      <c r="F371" s="41" t="inlineStr">
        <is>
          <t>Rare</t>
        </is>
      </c>
      <c r="G371" s="41" t="n">
        <v>1</v>
      </c>
      <c r="H371" s="41" t="n">
        <v>1</v>
      </c>
      <c r="I371" s="41" t="n">
        <v>6</v>
      </c>
      <c r="J371" s="41" t="n">
        <v>9</v>
      </c>
      <c r="K371" s="42" t="inlineStr">
        <is>
          <t>Bounty 1</t>
        </is>
      </c>
      <c r="L371" s="41" t="n"/>
      <c r="M371" s="41" t="inlineStr">
        <is>
          <t>Felid (Beast)</t>
        </is>
      </c>
      <c r="N371" s="41" t="inlineStr">
        <is>
          <t>Cat</t>
        </is>
      </c>
      <c r="O371" s="41" t="inlineStr">
        <is>
          <t>Any</t>
        </is>
      </c>
      <c r="P371" s="42" t="inlineStr">
        <is>
          <t>Spare Cat: the first world already has 5 (a later world can use it)</t>
        </is>
      </c>
      <c r="Q371" s="41" t="inlineStr">
        <is>
          <t>Spare</t>
        </is>
      </c>
    </row>
    <row r="372" ht="15" customHeight="1" s="39">
      <c r="A372" s="41" t="inlineStr">
        <is>
          <t>Spare animals (not placed yet)</t>
        </is>
      </c>
      <c r="B372" s="41" t="n"/>
      <c r="C372" s="41" t="inlineStr">
        <is>
          <t>Jaguar Stalker</t>
        </is>
      </c>
      <c r="D372" s="41" t="inlineStr">
        <is>
          <t>jaguar-stalker</t>
        </is>
      </c>
      <c r="E372" s="41" t="n"/>
      <c r="F372" s="41" t="inlineStr">
        <is>
          <t>Rare</t>
        </is>
      </c>
      <c r="G372" s="41" t="n">
        <v>1</v>
      </c>
      <c r="H372" s="41" t="n">
        <v>1</v>
      </c>
      <c r="I372" s="41" t="n">
        <v>4</v>
      </c>
      <c r="J372" s="41" t="n">
        <v>9</v>
      </c>
      <c r="K372" s="42" t="inlineStr">
        <is>
          <t>Quick</t>
        </is>
      </c>
      <c r="L372" s="41" t="n"/>
      <c r="M372" s="41" t="inlineStr">
        <is>
          <t>Felid (Beast)</t>
        </is>
      </c>
      <c r="N372" s="41" t="inlineStr">
        <is>
          <t>Cat</t>
        </is>
      </c>
      <c r="O372" s="41" t="inlineStr">
        <is>
          <t>Rainforest</t>
        </is>
      </c>
      <c r="P372" s="42" t="inlineStr">
        <is>
          <t>Spare Cat: the first world already has 5 (a later world can use it)</t>
        </is>
      </c>
      <c r="Q372" s="41" t="inlineStr">
        <is>
          <t>Spare</t>
        </is>
      </c>
    </row>
    <row r="373" ht="15" customHeight="1" s="39">
      <c r="A373" s="41" t="inlineStr">
        <is>
          <t>Spare animals (not placed yet)</t>
        </is>
      </c>
      <c r="B373" s="41" t="n"/>
      <c r="C373" s="41" t="inlineStr">
        <is>
          <t>Savanna Cheetah</t>
        </is>
      </c>
      <c r="D373" s="41" t="inlineStr">
        <is>
          <t>savanna-cheetah</t>
        </is>
      </c>
      <c r="E373" s="41" t="n"/>
      <c r="F373" s="41" t="inlineStr">
        <is>
          <t>Rare</t>
        </is>
      </c>
      <c r="G373" s="41" t="n">
        <v>1</v>
      </c>
      <c r="H373" s="41" t="n">
        <v>0</v>
      </c>
      <c r="I373" s="41" t="n">
        <v>4</v>
      </c>
      <c r="J373" s="41" t="n">
        <v>6</v>
      </c>
      <c r="K373" s="42" t="inlineStr">
        <is>
          <t>Quick</t>
        </is>
      </c>
      <c r="L373" s="41" t="n"/>
      <c r="M373" s="41" t="inlineStr">
        <is>
          <t>Felid (Beast)</t>
        </is>
      </c>
      <c r="N373" s="41" t="inlineStr">
        <is>
          <t>Cat</t>
        </is>
      </c>
      <c r="O373" s="41" t="inlineStr">
        <is>
          <t>Savanna</t>
        </is>
      </c>
      <c r="P373" s="42" t="inlineStr">
        <is>
          <t>Spare Cat: the first world already has 5 (a later world can use it)</t>
        </is>
      </c>
      <c r="Q373" s="41" t="inlineStr">
        <is>
          <t>Spare</t>
        </is>
      </c>
    </row>
    <row r="374" ht="15" customHeight="1" s="39">
      <c r="A374" s="41" t="inlineStr">
        <is>
          <t>Spare animals (not placed yet)</t>
        </is>
      </c>
      <c r="B374" s="41" t="n"/>
      <c r="C374" s="41" t="inlineStr">
        <is>
          <t>War Panther</t>
        </is>
      </c>
      <c r="D374" s="41" t="inlineStr">
        <is>
          <t>war-panther</t>
        </is>
      </c>
      <c r="E374" s="41" t="n"/>
      <c r="F374" s="41" t="inlineStr">
        <is>
          <t>Common</t>
        </is>
      </c>
      <c r="G374" s="41" t="n">
        <v>2</v>
      </c>
      <c r="H374" s="41" t="n">
        <v>3</v>
      </c>
      <c r="I374" s="41" t="n">
        <v>7</v>
      </c>
      <c r="J374" s="41" t="n">
        <v>20</v>
      </c>
      <c r="K374" s="42" t="inlineStr">
        <is>
          <t>Bounty 1</t>
        </is>
      </c>
      <c r="L374" s="41" t="n"/>
      <c r="M374" s="41" t="inlineStr">
        <is>
          <t>Felid (Beast)</t>
        </is>
      </c>
      <c r="N374" s="41" t="inlineStr">
        <is>
          <t>Cat</t>
        </is>
      </c>
      <c r="O374" s="41" t="inlineStr">
        <is>
          <t>Any</t>
        </is>
      </c>
      <c r="P374" s="42" t="inlineStr">
        <is>
          <t>Spare Cat: the first world already has 5 (a later world can use it)</t>
        </is>
      </c>
      <c r="Q374" s="41" t="inlineStr">
        <is>
          <t>Spare</t>
        </is>
      </c>
    </row>
    <row r="375" ht="23.25" customHeight="1" s="39">
      <c r="A375" s="41" t="inlineStr">
        <is>
          <t>Spare animals (not placed yet)</t>
        </is>
      </c>
      <c r="B375" s="41" t="n"/>
      <c r="C375" s="41" t="inlineStr">
        <is>
          <t>Chipmunk Cavalry</t>
        </is>
      </c>
      <c r="D375" s="41" t="inlineStr">
        <is>
          <t>chipmunk-cavalry</t>
        </is>
      </c>
      <c r="E375" s="41" t="n"/>
      <c r="F375" s="41" t="inlineStr">
        <is>
          <t>Common</t>
        </is>
      </c>
      <c r="G375" s="41" t="n">
        <v>1</v>
      </c>
      <c r="H375" s="41" t="n">
        <v>0</v>
      </c>
      <c r="I375" s="41" t="n">
        <v>3</v>
      </c>
      <c r="J375" s="41" t="n">
        <v>9</v>
      </c>
      <c r="K375" s="42" t="inlineStr">
        <is>
          <t>Quick</t>
        </is>
      </c>
      <c r="L375" s="41" t="n"/>
      <c r="M375" s="41" t="inlineStr">
        <is>
          <t>Rodent (Beast)</t>
        </is>
      </c>
      <c r="N375" s="41" t="inlineStr">
        <is>
          <t>Chipmunk &amp; Squirrel</t>
        </is>
      </c>
      <c r="O375" s="41" t="inlineStr">
        <is>
          <t>Any</t>
        </is>
      </c>
      <c r="P375" s="42" t="inlineStr">
        <is>
          <t>Spare Chipmunk &amp; Squirrel: the first world already has 6 (a later world can use it)</t>
        </is>
      </c>
      <c r="Q375" s="41" t="inlineStr">
        <is>
          <t>Spare</t>
        </is>
      </c>
    </row>
    <row r="376" ht="23.25" customHeight="1" s="39">
      <c r="A376" s="41" t="inlineStr">
        <is>
          <t>Spare animals (not placed yet)</t>
        </is>
      </c>
      <c r="B376" s="41" t="n"/>
      <c r="C376" s="41" t="inlineStr">
        <is>
          <t>Chipmunk Stockpiler</t>
        </is>
      </c>
      <c r="D376" s="41" t="inlineStr">
        <is>
          <t>chipmunk-stockpiler</t>
        </is>
      </c>
      <c r="E376" s="41" t="n"/>
      <c r="F376" s="41" t="inlineStr">
        <is>
          <t>Common</t>
        </is>
      </c>
      <c r="G376" s="41" t="n">
        <v>0</v>
      </c>
      <c r="H376" s="41" t="n">
        <v>0</v>
      </c>
      <c r="I376" s="41" t="n">
        <v>1</v>
      </c>
      <c r="J376" s="41" t="n">
        <v>7</v>
      </c>
      <c r="K376" s="42" t="inlineStr">
        <is>
          <t>Worthy 1</t>
        </is>
      </c>
      <c r="L376" s="41" t="n"/>
      <c r="M376" s="41" t="inlineStr">
        <is>
          <t>Rodent (Beast)</t>
        </is>
      </c>
      <c r="N376" s="41" t="inlineStr">
        <is>
          <t>Chipmunk &amp; Squirrel</t>
        </is>
      </c>
      <c r="O376" s="41" t="inlineStr">
        <is>
          <t>Any</t>
        </is>
      </c>
      <c r="P376" s="42" t="inlineStr">
        <is>
          <t>Spare Chipmunk &amp; Squirrel: the first world already has 6 (a later world can use it)</t>
        </is>
      </c>
      <c r="Q376" s="41" t="inlineStr">
        <is>
          <t>Spare</t>
        </is>
      </c>
    </row>
    <row r="377" ht="23.25" customHeight="1" s="39">
      <c r="A377" s="41" t="inlineStr">
        <is>
          <t>Spare animals (not placed yet)</t>
        </is>
      </c>
      <c r="B377" s="41" t="n"/>
      <c r="C377" s="41" t="inlineStr">
        <is>
          <t>Barnacle Fortress</t>
        </is>
      </c>
      <c r="D377" s="41" t="inlineStr">
        <is>
          <t>barnacle-fortress</t>
        </is>
      </c>
      <c r="E377" s="41" t="n"/>
      <c r="F377" s="41" t="inlineStr">
        <is>
          <t>Common</t>
        </is>
      </c>
      <c r="G377" s="41" t="n">
        <v>1</v>
      </c>
      <c r="H377" s="41" t="n">
        <v>1</v>
      </c>
      <c r="I377" s="41" t="n">
        <v>0</v>
      </c>
      <c r="J377" s="41" t="n">
        <v>20</v>
      </c>
      <c r="K377" s="42" t="inlineStr">
        <is>
          <t>Armor 5</t>
        </is>
      </c>
      <c r="L377" s="41" t="n"/>
      <c r="M377" s="41" t="inlineStr">
        <is>
          <t>Crustacean (Arthropod)</t>
        </is>
      </c>
      <c r="N377" s="41" t="inlineStr">
        <is>
          <t>Crab &amp; Shrimp</t>
        </is>
      </c>
      <c r="O377" s="41" t="inlineStr">
        <is>
          <t>Coast</t>
        </is>
      </c>
      <c r="P377" s="42" t="inlineStr">
        <is>
          <t>Spare Crab &amp; Shrimp: the first world already has 3 (a later world can use it)</t>
        </is>
      </c>
      <c r="Q377" s="41" t="inlineStr">
        <is>
          <t>Spare</t>
        </is>
      </c>
    </row>
    <row r="378" ht="23.25" customHeight="1" s="39">
      <c r="A378" s="41" t="inlineStr">
        <is>
          <t>Spare animals (not placed yet)</t>
        </is>
      </c>
      <c r="B378" s="41" t="n"/>
      <c r="C378" s="41" t="inlineStr">
        <is>
          <t>Conch Herald</t>
        </is>
      </c>
      <c r="D378" s="41" t="inlineStr">
        <is>
          <t>conch-herald</t>
        </is>
      </c>
      <c r="E378" s="41" t="n"/>
      <c r="F378" s="41" t="inlineStr">
        <is>
          <t>Uncommon</t>
        </is>
      </c>
      <c r="G378" s="41" t="n">
        <v>1</v>
      </c>
      <c r="H378" s="41" t="n">
        <v>1</v>
      </c>
      <c r="I378" s="41" t="n">
        <v>2</v>
      </c>
      <c r="J378" s="41" t="n">
        <v>9</v>
      </c>
      <c r="K378" s="42" t="inlineStr">
        <is>
          <t>Tide, Inspiring 1</t>
        </is>
      </c>
      <c r="L378" s="41" t="n"/>
      <c r="M378" s="41" t="inlineStr">
        <is>
          <t>Crustacean (Arthropod)</t>
        </is>
      </c>
      <c r="N378" s="41" t="inlineStr">
        <is>
          <t>Crab &amp; Shrimp</t>
        </is>
      </c>
      <c r="O378" s="41" t="inlineStr">
        <is>
          <t>Coast</t>
        </is>
      </c>
      <c r="P378" s="42" t="inlineStr">
        <is>
          <t>Spare Crab &amp; Shrimp: the first world already has 3 (a later world can use it)</t>
        </is>
      </c>
      <c r="Q378" s="41" t="inlineStr">
        <is>
          <t>Spare</t>
        </is>
      </c>
    </row>
    <row r="379" ht="23.25" customHeight="1" s="39">
      <c r="A379" s="41" t="inlineStr">
        <is>
          <t>Spare animals (not placed yet)</t>
        </is>
      </c>
      <c r="B379" s="41" t="n"/>
      <c r="C379" s="41" t="inlineStr">
        <is>
          <t>Fiddler Crab Swarm</t>
        </is>
      </c>
      <c r="D379" s="41" t="inlineStr">
        <is>
          <t>fiddler-crab-swarm</t>
        </is>
      </c>
      <c r="E379" s="41" t="n"/>
      <c r="F379" s="41" t="inlineStr">
        <is>
          <t>Common</t>
        </is>
      </c>
      <c r="G379" s="41" t="n">
        <v>0</v>
      </c>
      <c r="H379" s="41" t="n">
        <v>0</v>
      </c>
      <c r="I379" s="41" t="n">
        <v>1</v>
      </c>
      <c r="J379" s="41" t="n">
        <v>3</v>
      </c>
      <c r="K379" s="42" t="inlineStr">
        <is>
          <t>Tide, Fork</t>
        </is>
      </c>
      <c r="L379" s="41" t="n"/>
      <c r="M379" s="41" t="inlineStr">
        <is>
          <t>Crustacean (Arthropod)</t>
        </is>
      </c>
      <c r="N379" s="41" t="inlineStr">
        <is>
          <t>Crab &amp; Shrimp</t>
        </is>
      </c>
      <c r="O379" s="41" t="inlineStr">
        <is>
          <t>Mangrove</t>
        </is>
      </c>
      <c r="P379" s="42" t="inlineStr">
        <is>
          <t>Spare Crab &amp; Shrimp: the first world already has 3 (a later world can use it)</t>
        </is>
      </c>
      <c r="Q379" s="41" t="inlineStr">
        <is>
          <t>Spare</t>
        </is>
      </c>
    </row>
    <row r="380" ht="23.25" customHeight="1" s="39">
      <c r="A380" s="41" t="inlineStr">
        <is>
          <t>Spare animals (not placed yet)</t>
        </is>
      </c>
      <c r="B380" s="41" t="n"/>
      <c r="C380" s="41" t="inlineStr">
        <is>
          <t>Open-Ocean Hermit Crab</t>
        </is>
      </c>
      <c r="D380" s="41" t="inlineStr">
        <is>
          <t>open-ocean-hermit-crab</t>
        </is>
      </c>
      <c r="E380" s="41" t="n"/>
      <c r="F380" s="41" t="inlineStr">
        <is>
          <t>Common</t>
        </is>
      </c>
      <c r="G380" s="41" t="n">
        <v>0</v>
      </c>
      <c r="H380" s="41" t="n">
        <v>0</v>
      </c>
      <c r="I380" s="41" t="n">
        <v>1</v>
      </c>
      <c r="J380" s="41" t="n">
        <v>4</v>
      </c>
      <c r="K380" s="42" t="inlineStr">
        <is>
          <t>Armor 1, Tide, Molting 4</t>
        </is>
      </c>
      <c r="L380" s="41" t="n"/>
      <c r="M380" s="41" t="inlineStr">
        <is>
          <t>Crustacean (Arthropod)</t>
        </is>
      </c>
      <c r="N380" s="41" t="inlineStr">
        <is>
          <t>Crab &amp; Shrimp</t>
        </is>
      </c>
      <c r="O380" s="41" t="inlineStr">
        <is>
          <t>Ocean</t>
        </is>
      </c>
      <c r="P380" s="42" t="inlineStr">
        <is>
          <t>Spare Crab &amp; Shrimp: the first world already has 3 (a later world can use it)</t>
        </is>
      </c>
      <c r="Q380" s="41" t="inlineStr">
        <is>
          <t>Spare</t>
        </is>
      </c>
    </row>
    <row r="381" ht="23.25" customHeight="1" s="39">
      <c r="A381" s="41" t="inlineStr">
        <is>
          <t>Spare animals (not placed yet)</t>
        </is>
      </c>
      <c r="B381" s="41" t="n"/>
      <c r="C381" s="41" t="inlineStr">
        <is>
          <t>Boreal Elk</t>
        </is>
      </c>
      <c r="D381" s="41" t="inlineStr">
        <is>
          <t>boreal-elk</t>
        </is>
      </c>
      <c r="E381" s="41" t="n"/>
      <c r="F381" s="41" t="inlineStr">
        <is>
          <t>Common</t>
        </is>
      </c>
      <c r="G381" s="41" t="n">
        <v>2</v>
      </c>
      <c r="H381" s="41" t="n">
        <v>1</v>
      </c>
      <c r="I381" s="41" t="n">
        <v>5</v>
      </c>
      <c r="J381" s="41" t="n">
        <v>17</v>
      </c>
      <c r="K381" s="42" t="inlineStr">
        <is>
          <t>Cleave 1</t>
        </is>
      </c>
      <c r="L381" s="41" t="n"/>
      <c r="M381" s="41" t="inlineStr">
        <is>
          <t>Cervid (Beast)</t>
        </is>
      </c>
      <c r="N381" s="41" t="inlineStr">
        <is>
          <t>Deer &amp; Elk</t>
        </is>
      </c>
      <c r="O381" s="41" t="inlineStr">
        <is>
          <t>Taiga</t>
        </is>
      </c>
      <c r="P381" s="42" t="inlineStr">
        <is>
          <t>Spare Deer &amp; Elk: the first world already has 3 (a later world can use it)</t>
        </is>
      </c>
      <c r="Q381" s="41" t="inlineStr">
        <is>
          <t>Spare</t>
        </is>
      </c>
    </row>
    <row r="382" ht="23.25" customHeight="1" s="39">
      <c r="A382" s="41" t="inlineStr">
        <is>
          <t>Spare animals (not placed yet)</t>
        </is>
      </c>
      <c r="B382" s="41" t="n"/>
      <c r="C382" s="41" t="inlineStr">
        <is>
          <t>Elderhorn Monarch</t>
        </is>
      </c>
      <c r="D382" s="41" t="inlineStr">
        <is>
          <t>elderhorn-monarch</t>
        </is>
      </c>
      <c r="E382" s="41" t="n"/>
      <c r="F382" s="41" t="inlineStr">
        <is>
          <t>Common</t>
        </is>
      </c>
      <c r="G382" s="41" t="n">
        <v>3</v>
      </c>
      <c r="H382" s="41" t="n">
        <v>4</v>
      </c>
      <c r="I382" s="41" t="n">
        <v>8</v>
      </c>
      <c r="J382" s="41" t="n">
        <v>40</v>
      </c>
      <c r="K382" s="42" t="inlineStr">
        <is>
          <t>Lumber when Ready 1, Bounty 1, Worthy 2</t>
        </is>
      </c>
      <c r="L382" s="41" t="n"/>
      <c r="M382" s="41" t="inlineStr">
        <is>
          <t>Cervid (Beast)</t>
        </is>
      </c>
      <c r="N382" s="41" t="inlineStr">
        <is>
          <t>Deer &amp; Elk</t>
        </is>
      </c>
      <c r="O382" s="41" t="inlineStr">
        <is>
          <t>Any</t>
        </is>
      </c>
      <c r="P382" s="42" t="inlineStr">
        <is>
          <t>Spare Deer &amp; Elk: the first world already has 3 (a later world can use it)</t>
        </is>
      </c>
      <c r="Q382" s="41" t="inlineStr">
        <is>
          <t>Spare</t>
        </is>
      </c>
    </row>
    <row r="383" ht="23.25" customHeight="1" s="39">
      <c r="A383" s="41" t="inlineStr">
        <is>
          <t>Spare animals (not placed yet)</t>
        </is>
      </c>
      <c r="B383" s="41" t="n"/>
      <c r="C383" s="41" t="inlineStr">
        <is>
          <t>Ür-Elk</t>
        </is>
      </c>
      <c r="D383" s="41" t="inlineStr">
        <is>
          <t>ur-elk</t>
        </is>
      </c>
      <c r="E383" s="41" t="n"/>
      <c r="F383" s="41" t="inlineStr">
        <is>
          <t>Rare</t>
        </is>
      </c>
      <c r="G383" s="41" t="n">
        <v>2</v>
      </c>
      <c r="H383" s="41" t="n">
        <v>3</v>
      </c>
      <c r="I383" s="41" t="n">
        <v>8</v>
      </c>
      <c r="J383" s="41" t="n">
        <v>26</v>
      </c>
      <c r="K383" s="42" t="inlineStr">
        <is>
          <t>Stampede, Rage</t>
        </is>
      </c>
      <c r="L383" s="41" t="n"/>
      <c r="M383" s="41" t="inlineStr">
        <is>
          <t>Mammal</t>
        </is>
      </c>
      <c r="N383" s="41" t="inlineStr">
        <is>
          <t>Deer &amp; Elk</t>
        </is>
      </c>
      <c r="O383" s="41" t="inlineStr">
        <is>
          <t>Ice</t>
        </is>
      </c>
      <c r="P383" s="42" t="inlineStr">
        <is>
          <t>Spare Deer &amp; Elk: the first world already has 3 (a later world can use it)</t>
        </is>
      </c>
      <c r="Q383" s="41" t="inlineStr">
        <is>
          <t>Spare</t>
        </is>
      </c>
    </row>
    <row r="384" ht="23.25" customHeight="1" s="39">
      <c r="A384" s="41" t="inlineStr">
        <is>
          <t>Spare animals (not placed yet)</t>
        </is>
      </c>
      <c r="B384" s="41" t="n"/>
      <c r="C384" s="41" t="inlineStr">
        <is>
          <t>Armored Mastiff</t>
        </is>
      </c>
      <c r="D384" s="41" t="inlineStr">
        <is>
          <t>armored-mastiff</t>
        </is>
      </c>
      <c r="E384" s="41" t="n"/>
      <c r="F384" s="41" t="inlineStr">
        <is>
          <t>Common</t>
        </is>
      </c>
      <c r="G384" s="41" t="n">
        <v>2</v>
      </c>
      <c r="H384" s="41" t="n">
        <v>3</v>
      </c>
      <c r="I384" s="41" t="n">
        <v>6</v>
      </c>
      <c r="J384" s="41" t="n">
        <v>28</v>
      </c>
      <c r="K384" s="42" t="inlineStr">
        <is>
          <t>Bounty 1</t>
        </is>
      </c>
      <c r="L384" s="41" t="n"/>
      <c r="M384" s="41" t="inlineStr">
        <is>
          <t>Canid (Beast)</t>
        </is>
      </c>
      <c r="N384" s="41" t="inlineStr">
        <is>
          <t>Dog</t>
        </is>
      </c>
      <c r="O384" s="41" t="inlineStr">
        <is>
          <t>Any</t>
        </is>
      </c>
      <c r="P384" s="42" t="inlineStr">
        <is>
          <t>Spare Dog: the first world already has 4 (a later world can use it)</t>
        </is>
      </c>
      <c r="Q384" s="41" t="inlineStr">
        <is>
          <t>Spare</t>
        </is>
      </c>
    </row>
    <row r="385" ht="23.25" customHeight="1" s="39">
      <c r="A385" s="41" t="inlineStr">
        <is>
          <t>Spare animals (not placed yet)</t>
        </is>
      </c>
      <c r="B385" s="41" t="n"/>
      <c r="C385" s="41" t="inlineStr">
        <is>
          <t>Crown Pretender</t>
        </is>
      </c>
      <c r="D385" s="41" t="inlineStr">
        <is>
          <t>crown-pretender</t>
        </is>
      </c>
      <c r="E385" s="41" t="n"/>
      <c r="F385" s="41" t="inlineStr">
        <is>
          <t>Uncommon</t>
        </is>
      </c>
      <c r="G385" s="41" t="n">
        <v>1</v>
      </c>
      <c r="H385" s="41" t="n">
        <v>1</v>
      </c>
      <c r="I385" s="41" t="n">
        <v>2</v>
      </c>
      <c r="J385" s="41" t="n">
        <v>10</v>
      </c>
      <c r="K385" s="42" t="inlineStr">
        <is>
          <t>Usurper 3/0</t>
        </is>
      </c>
      <c r="L385" s="41" t="n"/>
      <c r="M385" s="41" t="inlineStr">
        <is>
          <t>Canid (Beast)</t>
        </is>
      </c>
      <c r="N385" s="41" t="inlineStr">
        <is>
          <t>Dog</t>
        </is>
      </c>
      <c r="O385" s="41" t="inlineStr">
        <is>
          <t>Village and farm</t>
        </is>
      </c>
      <c r="P385" s="42" t="inlineStr">
        <is>
          <t>Spare Dog: the first world already has 4 (a later world can use it)</t>
        </is>
      </c>
      <c r="Q385" s="41" t="inlineStr">
        <is>
          <t>Spare</t>
        </is>
      </c>
    </row>
    <row r="386" ht="23.25" customHeight="1" s="39">
      <c r="A386" s="41" t="inlineStr">
        <is>
          <t>Spare animals (not placed yet)</t>
        </is>
      </c>
      <c r="B386" s="41" t="n"/>
      <c r="C386" s="41" t="inlineStr">
        <is>
          <t>War Hound</t>
        </is>
      </c>
      <c r="D386" s="41" t="inlineStr">
        <is>
          <t>war-hound</t>
        </is>
      </c>
      <c r="E386" s="41" t="n"/>
      <c r="F386" s="41" t="inlineStr">
        <is>
          <t>Rare</t>
        </is>
      </c>
      <c r="G386" s="41" t="n">
        <v>1</v>
      </c>
      <c r="H386" s="41" t="n">
        <v>1</v>
      </c>
      <c r="I386" s="41" t="n">
        <v>4</v>
      </c>
      <c r="J386" s="41" t="n">
        <v>12</v>
      </c>
      <c r="K386" s="42" t="inlineStr">
        <is>
          <t>Bounty 1</t>
        </is>
      </c>
      <c r="L386" s="41" t="n"/>
      <c r="M386" s="41" t="inlineStr">
        <is>
          <t>Canid (Beast)</t>
        </is>
      </c>
      <c r="N386" s="41" t="inlineStr">
        <is>
          <t>Dog</t>
        </is>
      </c>
      <c r="O386" s="41" t="inlineStr">
        <is>
          <t>Any</t>
        </is>
      </c>
      <c r="P386" s="42" t="inlineStr">
        <is>
          <t>Spare Dog: the first world already has 4 (a later world can use it)</t>
        </is>
      </c>
      <c r="Q386" s="41" t="inlineStr">
        <is>
          <t>Spare</t>
        </is>
      </c>
    </row>
    <row r="387" ht="23.25" customHeight="1" s="39">
      <c r="A387" s="41" t="inlineStr">
        <is>
          <t>Spare animals (not placed yet)</t>
        </is>
      </c>
      <c r="B387" s="41" t="n"/>
      <c r="C387" s="41" t="inlineStr">
        <is>
          <t>Duckling Squadron</t>
        </is>
      </c>
      <c r="D387" s="41" t="inlineStr">
        <is>
          <t>duckling-squadron</t>
        </is>
      </c>
      <c r="E387" s="41" t="n"/>
      <c r="F387" s="41" t="inlineStr">
        <is>
          <t>Common</t>
        </is>
      </c>
      <c r="G387" s="41" t="n">
        <v>0</v>
      </c>
      <c r="H387" s="41" t="n">
        <v>0</v>
      </c>
      <c r="I387" s="41" t="n">
        <v>1</v>
      </c>
      <c r="J387" s="41" t="n">
        <v>3</v>
      </c>
      <c r="K387" s="42" t="inlineStr">
        <is>
          <t>Flying, Fork</t>
        </is>
      </c>
      <c r="L387" s="41" t="n"/>
      <c r="M387" s="41" t="inlineStr">
        <is>
          <t>Bird</t>
        </is>
      </c>
      <c r="N387" s="41" t="inlineStr">
        <is>
          <t>Duck &amp; Goose</t>
        </is>
      </c>
      <c r="O387" s="41" t="inlineStr">
        <is>
          <t>Any</t>
        </is>
      </c>
      <c r="P387" s="42" t="inlineStr">
        <is>
          <t>Spare Duck &amp; Goose: the first world already has 5 (a later world can use it)</t>
        </is>
      </c>
      <c r="Q387" s="41" t="inlineStr">
        <is>
          <t>Spare</t>
        </is>
      </c>
    </row>
    <row r="388" ht="23.25" customHeight="1" s="39">
      <c r="A388" s="41" t="inlineStr">
        <is>
          <t>Spare animals (not placed yet)</t>
        </is>
      </c>
      <c r="B388" s="41" t="n"/>
      <c r="C388" s="41" t="inlineStr">
        <is>
          <t>Migration Leader</t>
        </is>
      </c>
      <c r="D388" s="41" t="inlineStr">
        <is>
          <t>migration-leader</t>
        </is>
      </c>
      <c r="E388" s="41" t="n"/>
      <c r="F388" s="41" t="inlineStr">
        <is>
          <t>Common</t>
        </is>
      </c>
      <c r="G388" s="41" t="n">
        <v>1</v>
      </c>
      <c r="H388" s="41" t="n">
        <v>1</v>
      </c>
      <c r="I388" s="41" t="n">
        <v>2</v>
      </c>
      <c r="J388" s="41" t="n">
        <v>12</v>
      </c>
      <c r="K388" s="42" t="inlineStr">
        <is>
          <t>Flying</t>
        </is>
      </c>
      <c r="L388" s="41" t="n"/>
      <c r="M388" s="41" t="inlineStr">
        <is>
          <t>Bird</t>
        </is>
      </c>
      <c r="N388" s="41" t="inlineStr">
        <is>
          <t>Duck &amp; Goose</t>
        </is>
      </c>
      <c r="O388" s="41" t="inlineStr">
        <is>
          <t>Any</t>
        </is>
      </c>
      <c r="P388" s="42" t="inlineStr">
        <is>
          <t>Spare Duck &amp; Goose: the first world already has 5 (a later world can use it)</t>
        </is>
      </c>
      <c r="Q388" s="41" t="inlineStr">
        <is>
          <t>Spare</t>
        </is>
      </c>
    </row>
    <row r="389" ht="23.25" customHeight="1" s="39">
      <c r="A389" s="41" t="inlineStr">
        <is>
          <t>Spare animals (not placed yet)</t>
        </is>
      </c>
      <c r="B389" s="41" t="n"/>
      <c r="C389" s="41" t="inlineStr">
        <is>
          <t>Eagle Diver</t>
        </is>
      </c>
      <c r="D389" s="41" t="inlineStr">
        <is>
          <t>eagle-diver</t>
        </is>
      </c>
      <c r="E389" s="41" t="n"/>
      <c r="F389" s="41" t="inlineStr">
        <is>
          <t>Rare</t>
        </is>
      </c>
      <c r="G389" s="41" t="n">
        <v>1</v>
      </c>
      <c r="H389" s="41" t="n">
        <v>1</v>
      </c>
      <c r="I389" s="41" t="n">
        <v>3</v>
      </c>
      <c r="J389" s="41" t="n">
        <v>6</v>
      </c>
      <c r="K389" s="42" t="inlineStr">
        <is>
          <t>Bounty 1, Flying, Diurnal, Pounce 2</t>
        </is>
      </c>
      <c r="L389" s="41" t="n"/>
      <c r="M389" s="41" t="inlineStr">
        <is>
          <t>Bird</t>
        </is>
      </c>
      <c r="N389" s="41" t="inlineStr">
        <is>
          <t>Eagle &amp; Hawk</t>
        </is>
      </c>
      <c r="O389" s="41" t="inlineStr">
        <is>
          <t>Any</t>
        </is>
      </c>
      <c r="P389" s="42" t="inlineStr">
        <is>
          <t>Spare Eagle &amp; Hawk: the first world already has 5 (a later world can use it)</t>
        </is>
      </c>
      <c r="Q389" s="41" t="inlineStr">
        <is>
          <t>Spare</t>
        </is>
      </c>
    </row>
    <row r="390" ht="23.25" customHeight="1" s="39">
      <c r="A390" s="41" t="inlineStr">
        <is>
          <t>Spare animals (not placed yet)</t>
        </is>
      </c>
      <c r="B390" s="41" t="n"/>
      <c r="C390" s="41" t="inlineStr">
        <is>
          <t>Golden Eagle Diver</t>
        </is>
      </c>
      <c r="D390" s="41" t="inlineStr">
        <is>
          <t>golden-eagle-diver</t>
        </is>
      </c>
      <c r="E390" s="41" t="n"/>
      <c r="F390" s="41" t="inlineStr">
        <is>
          <t>Rare</t>
        </is>
      </c>
      <c r="G390" s="41" t="n">
        <v>1</v>
      </c>
      <c r="H390" s="41" t="n">
        <v>0</v>
      </c>
      <c r="I390" s="41" t="n">
        <v>2</v>
      </c>
      <c r="J390" s="41" t="n">
        <v>4</v>
      </c>
      <c r="K390" s="42" t="inlineStr">
        <is>
          <t>Flying, Diurnal, Pounce 3</t>
        </is>
      </c>
      <c r="L390" s="41" t="n"/>
      <c r="M390" s="41" t="inlineStr">
        <is>
          <t>Bird</t>
        </is>
      </c>
      <c r="N390" s="41" t="inlineStr">
        <is>
          <t>Eagle &amp; Hawk</t>
        </is>
      </c>
      <c r="O390" s="41" t="inlineStr">
        <is>
          <t>Mountain</t>
        </is>
      </c>
      <c r="P390" s="42" t="inlineStr">
        <is>
          <t>Spare Eagle &amp; Hawk: the first world already has 5 (a later world can use it)</t>
        </is>
      </c>
      <c r="Q390" s="41" t="inlineStr">
        <is>
          <t>Spare</t>
        </is>
      </c>
    </row>
    <row r="391" ht="23.25" customHeight="1" s="39">
      <c r="A391" s="41" t="inlineStr">
        <is>
          <t>Spare animals (not placed yet)</t>
        </is>
      </c>
      <c r="B391" s="41" t="n"/>
      <c r="C391" s="41" t="inlineStr">
        <is>
          <t>Peak Condor</t>
        </is>
      </c>
      <c r="D391" s="41" t="inlineStr">
        <is>
          <t>peak-condor</t>
        </is>
      </c>
      <c r="E391" s="41" t="n"/>
      <c r="F391" s="41" t="inlineStr">
        <is>
          <t>Common</t>
        </is>
      </c>
      <c r="G391" s="41" t="n">
        <v>1</v>
      </c>
      <c r="H391" s="41" t="n">
        <v>1</v>
      </c>
      <c r="I391" s="41" t="n">
        <v>4</v>
      </c>
      <c r="J391" s="41" t="n">
        <v>8</v>
      </c>
      <c r="K391" s="42" t="inlineStr">
        <is>
          <t>Reload 1, Flying</t>
        </is>
      </c>
      <c r="L391" s="41" t="n"/>
      <c r="M391" s="41" t="inlineStr">
        <is>
          <t>Bird</t>
        </is>
      </c>
      <c r="N391" s="41" t="inlineStr">
        <is>
          <t>Eagle &amp; Hawk</t>
        </is>
      </c>
      <c r="O391" s="41" t="inlineStr">
        <is>
          <t>Mountain</t>
        </is>
      </c>
      <c r="P391" s="42" t="inlineStr">
        <is>
          <t>Spare Eagle &amp; Hawk: the first world already has 5 (a later world can use it)</t>
        </is>
      </c>
      <c r="Q391" s="41" t="inlineStr">
        <is>
          <t>Spare</t>
        </is>
      </c>
    </row>
    <row r="392" ht="23.25" customHeight="1" s="39">
      <c r="A392" s="41" t="inlineStr">
        <is>
          <t>Spare animals (not placed yet)</t>
        </is>
      </c>
      <c r="B392" s="41" t="n"/>
      <c r="C392" s="41" t="inlineStr">
        <is>
          <t>Sandstorm Roc</t>
        </is>
      </c>
      <c r="D392" s="41" t="inlineStr">
        <is>
          <t>sandstorm-roc</t>
        </is>
      </c>
      <c r="E392" s="41" t="n"/>
      <c r="F392" s="41" t="inlineStr">
        <is>
          <t>Common</t>
        </is>
      </c>
      <c r="G392" s="41" t="n">
        <v>2</v>
      </c>
      <c r="H392" s="41" t="n">
        <v>2</v>
      </c>
      <c r="I392" s="41" t="n">
        <v>6</v>
      </c>
      <c r="J392" s="41" t="n">
        <v>18</v>
      </c>
      <c r="K392" s="42" t="inlineStr">
        <is>
          <t>Fork, Dry</t>
        </is>
      </c>
      <c r="L392" s="41" t="n"/>
      <c r="M392" s="41" t="inlineStr">
        <is>
          <t>Bird</t>
        </is>
      </c>
      <c r="N392" s="41" t="inlineStr">
        <is>
          <t>Eagle &amp; Hawk</t>
        </is>
      </c>
      <c r="O392" s="41" t="inlineStr">
        <is>
          <t>Desert</t>
        </is>
      </c>
      <c r="P392" s="42" t="inlineStr">
        <is>
          <t>Spare Eagle &amp; Hawk: the first world already has 5 (a later world can use it)</t>
        </is>
      </c>
      <c r="Q392" s="41" t="inlineStr">
        <is>
          <t>Spare</t>
        </is>
      </c>
    </row>
    <row r="393" ht="23.25" customHeight="1" s="39">
      <c r="A393" s="41" t="inlineStr">
        <is>
          <t>Spare animals (not placed yet)</t>
        </is>
      </c>
      <c r="B393" s="41" t="n"/>
      <c r="C393" s="41" t="inlineStr">
        <is>
          <t>Talon Archer</t>
        </is>
      </c>
      <c r="D393" s="41" t="inlineStr">
        <is>
          <t>talon-archer</t>
        </is>
      </c>
      <c r="E393" s="41" t="n"/>
      <c r="F393" s="41" t="inlineStr">
        <is>
          <t>Rare</t>
        </is>
      </c>
      <c r="G393" s="41" t="n">
        <v>1</v>
      </c>
      <c r="H393" s="41" t="n">
        <v>1</v>
      </c>
      <c r="I393" s="41" t="n">
        <v>1</v>
      </c>
      <c r="J393" s="41" t="n">
        <v>6</v>
      </c>
      <c r="K393" s="42" t="inlineStr">
        <is>
          <t>Flying, Arrow 2, Diurnal</t>
        </is>
      </c>
      <c r="L393" s="41" t="n"/>
      <c r="M393" s="41" t="inlineStr">
        <is>
          <t>Bird</t>
        </is>
      </c>
      <c r="N393" s="41" t="inlineStr">
        <is>
          <t>Eagle &amp; Hawk</t>
        </is>
      </c>
      <c r="O393" s="41" t="inlineStr">
        <is>
          <t>Any</t>
        </is>
      </c>
      <c r="P393" s="42" t="inlineStr">
        <is>
          <t>Spare Eagle &amp; Hawk: the first world already has 5 (a later world can use it)</t>
        </is>
      </c>
      <c r="Q393" s="41" t="inlineStr">
        <is>
          <t>Spare</t>
        </is>
      </c>
    </row>
    <row r="394" ht="15" customHeight="1" s="39">
      <c r="A394" s="41" t="inlineStr">
        <is>
          <t>Spare animals (not placed yet)</t>
        </is>
      </c>
      <c r="B394" s="41" t="n"/>
      <c r="C394" s="41" t="inlineStr">
        <is>
          <t>Coral Current Eel</t>
        </is>
      </c>
      <c r="D394" s="41" t="inlineStr">
        <is>
          <t>coral-current-eel</t>
        </is>
      </c>
      <c r="E394" s="41" t="n"/>
      <c r="F394" s="41" t="inlineStr">
        <is>
          <t>Rare</t>
        </is>
      </c>
      <c r="G394" s="41" t="n">
        <v>1</v>
      </c>
      <c r="H394" s="41" t="n">
        <v>0</v>
      </c>
      <c r="I394" s="41" t="n">
        <v>2</v>
      </c>
      <c r="J394" s="41" t="n">
        <v>5</v>
      </c>
      <c r="K394" s="42" t="inlineStr">
        <is>
          <t>Poison 2, Tide, Wash, Swimmer</t>
        </is>
      </c>
      <c r="L394" s="41" t="n"/>
      <c r="M394" s="41" t="inlineStr">
        <is>
          <t>Fish (Aquatic)</t>
        </is>
      </c>
      <c r="N394" s="41" t="inlineStr">
        <is>
          <t>Eel</t>
        </is>
      </c>
      <c r="O394" s="41" t="inlineStr">
        <is>
          <t>Ocean</t>
        </is>
      </c>
      <c r="P394" s="42" t="inlineStr">
        <is>
          <t>Spare Eel: the first world already has 3 (a later world can use it)</t>
        </is>
      </c>
      <c r="Q394" s="41" t="inlineStr">
        <is>
          <t>Spare</t>
        </is>
      </c>
    </row>
    <row r="395" ht="23.25" customHeight="1" s="39">
      <c r="A395" s="41" t="inlineStr">
        <is>
          <t>Spare animals (not placed yet)</t>
        </is>
      </c>
      <c r="B395" s="41" t="n"/>
      <c r="C395" s="41" t="inlineStr">
        <is>
          <t>Blind Cave Fish</t>
        </is>
      </c>
      <c r="D395" s="41" t="inlineStr">
        <is>
          <t>blind-cave-fish</t>
        </is>
      </c>
      <c r="E395" s="41" t="n"/>
      <c r="F395" s="41" t="inlineStr">
        <is>
          <t>Common</t>
        </is>
      </c>
      <c r="G395" s="41" t="n">
        <v>0</v>
      </c>
      <c r="H395" s="41" t="n">
        <v>0</v>
      </c>
      <c r="I395" s="41" t="n">
        <v>1</v>
      </c>
      <c r="J395" s="41" t="n">
        <v>6</v>
      </c>
      <c r="K395" s="42" t="inlineStr">
        <is>
          <t>Evasive, Darksight</t>
        </is>
      </c>
      <c r="L395" s="41" t="n"/>
      <c r="M395" s="41" t="inlineStr">
        <is>
          <t>Fish (Aquatic)</t>
        </is>
      </c>
      <c r="N395" s="41" t="inlineStr">
        <is>
          <t>Fish</t>
        </is>
      </c>
      <c r="O395" s="41" t="inlineStr">
        <is>
          <t>Cave</t>
        </is>
      </c>
      <c r="P395" s="42" t="inlineStr">
        <is>
          <t>Spare Fish: the first world already has 5 (a later world can use it)</t>
        </is>
      </c>
      <c r="Q395" s="41" t="inlineStr">
        <is>
          <t>Spare</t>
        </is>
      </c>
    </row>
    <row r="396" ht="23.25" customHeight="1" s="39">
      <c r="A396" s="41" t="inlineStr">
        <is>
          <t>Spare animals (not placed yet)</t>
        </is>
      </c>
      <c r="B396" s="41" t="n"/>
      <c r="C396" s="41" t="inlineStr">
        <is>
          <t>Minnow Skitter</t>
        </is>
      </c>
      <c r="D396" s="41" t="inlineStr">
        <is>
          <t>minnow-skitter</t>
        </is>
      </c>
      <c r="E396" s="41" t="n"/>
      <c r="F396" s="41" t="inlineStr">
        <is>
          <t>Common</t>
        </is>
      </c>
      <c r="G396" s="41" t="n">
        <v>0</v>
      </c>
      <c r="H396" s="41" t="n">
        <v>0</v>
      </c>
      <c r="I396" s="41" t="n">
        <v>2</v>
      </c>
      <c r="J396" s="41" t="n">
        <v>5</v>
      </c>
      <c r="K396" s="42" t="inlineStr">
        <is>
          <t>Swimmer</t>
        </is>
      </c>
      <c r="L396" s="41" t="n"/>
      <c r="M396" s="41" t="inlineStr">
        <is>
          <t>Fish (Aquatic)</t>
        </is>
      </c>
      <c r="N396" s="41" t="inlineStr">
        <is>
          <t>Fish</t>
        </is>
      </c>
      <c r="O396" s="41" t="inlineStr">
        <is>
          <t>Any</t>
        </is>
      </c>
      <c r="P396" s="42" t="inlineStr">
        <is>
          <t>Spare Fish: the first world already has 5 (a later world can use it)</t>
        </is>
      </c>
      <c r="Q396" s="41" t="inlineStr">
        <is>
          <t>Spare</t>
        </is>
      </c>
    </row>
    <row r="397" ht="23.25" customHeight="1" s="39">
      <c r="A397" s="41" t="inlineStr">
        <is>
          <t>Spare animals (not placed yet)</t>
        </is>
      </c>
      <c r="B397" s="41" t="n"/>
      <c r="C397" s="41" t="inlineStr">
        <is>
          <t>Pike Lancer</t>
        </is>
      </c>
      <c r="D397" s="41" t="inlineStr">
        <is>
          <t>pike-lancer</t>
        </is>
      </c>
      <c r="E397" s="41" t="n"/>
      <c r="F397" s="41" t="inlineStr">
        <is>
          <t>Rare</t>
        </is>
      </c>
      <c r="G397" s="41" t="n">
        <v>0</v>
      </c>
      <c r="H397" s="41" t="n">
        <v>1</v>
      </c>
      <c r="I397" s="41" t="n">
        <v>4</v>
      </c>
      <c r="J397" s="41" t="n">
        <v>6</v>
      </c>
      <c r="K397" s="42" t="inlineStr">
        <is>
          <t>Swimmer</t>
        </is>
      </c>
      <c r="L397" s="41" t="n"/>
      <c r="M397" s="41" t="inlineStr">
        <is>
          <t>Fish (Aquatic)</t>
        </is>
      </c>
      <c r="N397" s="41" t="inlineStr">
        <is>
          <t>Fish</t>
        </is>
      </c>
      <c r="O397" s="41" t="inlineStr">
        <is>
          <t>Any</t>
        </is>
      </c>
      <c r="P397" s="42" t="inlineStr">
        <is>
          <t>Spare Fish: the first world already has 5 (a later world can use it)</t>
        </is>
      </c>
      <c r="Q397" s="41" t="inlineStr">
        <is>
          <t>Spare</t>
        </is>
      </c>
    </row>
    <row r="398" ht="15" customHeight="1" s="39">
      <c r="A398" s="41" t="inlineStr">
        <is>
          <t>Spare animals (not placed yet)</t>
        </is>
      </c>
      <c r="B398" s="41" t="n"/>
      <c r="C398" s="41" t="inlineStr">
        <is>
          <t>Fennec Fox</t>
        </is>
      </c>
      <c r="D398" s="41" t="inlineStr">
        <is>
          <t>fennec-fox</t>
        </is>
      </c>
      <c r="E398" s="41" t="n"/>
      <c r="F398" s="41" t="inlineStr">
        <is>
          <t>Uncommon</t>
        </is>
      </c>
      <c r="G398" s="41" t="n">
        <v>1</v>
      </c>
      <c r="H398" s="41" t="n">
        <v>1</v>
      </c>
      <c r="I398" s="41" t="n">
        <v>2</v>
      </c>
      <c r="J398" s="41" t="n">
        <v>10</v>
      </c>
      <c r="K398" s="42" t="inlineStr">
        <is>
          <t>Swift, Dry, Darksight</t>
        </is>
      </c>
      <c r="L398" s="41" t="n"/>
      <c r="M398" s="41" t="inlineStr">
        <is>
          <t>Canid (Beast)</t>
        </is>
      </c>
      <c r="N398" s="41" t="inlineStr">
        <is>
          <t>Fox</t>
        </is>
      </c>
      <c r="O398" s="41" t="inlineStr">
        <is>
          <t>Desert</t>
        </is>
      </c>
      <c r="P398" s="42" t="inlineStr">
        <is>
          <t>Spare Fox: the first world already has 4 (a later world can use it)</t>
        </is>
      </c>
      <c r="Q398" s="41" t="inlineStr">
        <is>
          <t>Spare</t>
        </is>
      </c>
    </row>
    <row r="399" ht="15" customHeight="1" s="39">
      <c r="A399" s="41" t="inlineStr">
        <is>
          <t>Spare animals (not placed yet)</t>
        </is>
      </c>
      <c r="B399" s="41" t="n"/>
      <c r="C399" s="41" t="inlineStr">
        <is>
          <t>Firetail Trickster</t>
        </is>
      </c>
      <c r="D399" s="41" t="inlineStr">
        <is>
          <t>firetail-trickster</t>
        </is>
      </c>
      <c r="E399" s="41" t="n"/>
      <c r="F399" s="41" t="inlineStr">
        <is>
          <t>Rare</t>
        </is>
      </c>
      <c r="G399" s="41" t="n">
        <v>1</v>
      </c>
      <c r="H399" s="41" t="n">
        <v>0</v>
      </c>
      <c r="I399" s="41" t="n">
        <v>3</v>
      </c>
      <c r="J399" s="41" t="n">
        <v>9</v>
      </c>
      <c r="K399" s="42" t="inlineStr">
        <is>
          <t>Bounty 1, Pounce 2</t>
        </is>
      </c>
      <c r="L399" s="41" t="n"/>
      <c r="M399" s="41" t="inlineStr">
        <is>
          <t>Canid (Beast)</t>
        </is>
      </c>
      <c r="N399" s="41" t="inlineStr">
        <is>
          <t>Fox</t>
        </is>
      </c>
      <c r="O399" s="41" t="inlineStr">
        <is>
          <t>Any</t>
        </is>
      </c>
      <c r="P399" s="42" t="inlineStr">
        <is>
          <t>Spare Fox: the first world already has 4 (a later world can use it)</t>
        </is>
      </c>
      <c r="Q399" s="41" t="inlineStr">
        <is>
          <t>Spare</t>
        </is>
      </c>
    </row>
    <row r="400" ht="15" customHeight="1" s="39">
      <c r="A400" s="41" t="inlineStr">
        <is>
          <t>Spare animals (not placed yet)</t>
        </is>
      </c>
      <c r="B400" s="41" t="n"/>
      <c r="C400" s="41" t="inlineStr">
        <is>
          <t>Fox Sharpshot</t>
        </is>
      </c>
      <c r="D400" s="41" t="inlineStr">
        <is>
          <t>fox-sharpshot</t>
        </is>
      </c>
      <c r="E400" s="41" t="n"/>
      <c r="F400" s="41" t="inlineStr">
        <is>
          <t>Common</t>
        </is>
      </c>
      <c r="G400" s="41" t="n">
        <v>1</v>
      </c>
      <c r="H400" s="41" t="n">
        <v>2</v>
      </c>
      <c r="I400" s="41" t="n">
        <v>2</v>
      </c>
      <c r="J400" s="41" t="n">
        <v>9</v>
      </c>
      <c r="K400" s="42" t="inlineStr">
        <is>
          <t>Snipe 3</t>
        </is>
      </c>
      <c r="L400" s="41" t="n"/>
      <c r="M400" s="41" t="inlineStr">
        <is>
          <t>Canid (Beast)</t>
        </is>
      </c>
      <c r="N400" s="41" t="inlineStr">
        <is>
          <t>Fox</t>
        </is>
      </c>
      <c r="O400" s="41" t="inlineStr">
        <is>
          <t>Any</t>
        </is>
      </c>
      <c r="P400" s="42" t="inlineStr">
        <is>
          <t>Spare Fox: the first world already has 4 (a later world can use it)</t>
        </is>
      </c>
      <c r="Q400" s="41" t="inlineStr">
        <is>
          <t>Spare</t>
        </is>
      </c>
    </row>
    <row r="401" ht="15" customHeight="1" s="39">
      <c r="A401" s="41" t="inlineStr">
        <is>
          <t>Spare animals (not placed yet)</t>
        </is>
      </c>
      <c r="B401" s="41" t="n"/>
      <c r="C401" s="41" t="inlineStr">
        <is>
          <t>Fox Warchief</t>
        </is>
      </c>
      <c r="D401" s="41" t="inlineStr">
        <is>
          <t>fox-warchief</t>
        </is>
      </c>
      <c r="E401" s="41" t="n"/>
      <c r="F401" s="41" t="inlineStr">
        <is>
          <t>Common</t>
        </is>
      </c>
      <c r="G401" s="41" t="n">
        <v>2</v>
      </c>
      <c r="H401" s="41" t="n">
        <v>2</v>
      </c>
      <c r="I401" s="41" t="n">
        <v>6</v>
      </c>
      <c r="J401" s="41" t="n">
        <v>20</v>
      </c>
      <c r="K401" s="42" t="inlineStr">
        <is>
          <t>Cleave 1, Bounty 1</t>
        </is>
      </c>
      <c r="L401" s="41" t="n"/>
      <c r="M401" s="41" t="inlineStr">
        <is>
          <t>Canid (Beast)</t>
        </is>
      </c>
      <c r="N401" s="41" t="inlineStr">
        <is>
          <t>Fox</t>
        </is>
      </c>
      <c r="O401" s="41" t="inlineStr">
        <is>
          <t>Any</t>
        </is>
      </c>
      <c r="P401" s="42" t="inlineStr">
        <is>
          <t>Spare Fox: the first world already has 4 (a later world can use it)</t>
        </is>
      </c>
      <c r="Q401" s="41" t="inlineStr">
        <is>
          <t>Spare</t>
        </is>
      </c>
    </row>
    <row r="402" ht="15" customHeight="1" s="39">
      <c r="A402" s="41" t="inlineStr">
        <is>
          <t>Spare animals (not placed yet)</t>
        </is>
      </c>
      <c r="B402" s="41" t="n"/>
      <c r="C402" s="41" t="inlineStr">
        <is>
          <t>King Maker</t>
        </is>
      </c>
      <c r="D402" s="41" t="inlineStr">
        <is>
          <t>king-maker</t>
        </is>
      </c>
      <c r="E402" s="41" t="n"/>
      <c r="F402" s="41" t="inlineStr">
        <is>
          <t>Rare</t>
        </is>
      </c>
      <c r="G402" s="41" t="n">
        <v>1</v>
      </c>
      <c r="H402" s="41" t="n">
        <v>1</v>
      </c>
      <c r="I402" s="41" t="n">
        <v>4</v>
      </c>
      <c r="J402" s="41" t="n">
        <v>11</v>
      </c>
      <c r="K402" s="42" t="inlineStr">
        <is>
          <t>King Slayer 4</t>
        </is>
      </c>
      <c r="L402" s="41" t="n"/>
      <c r="M402" s="41" t="inlineStr">
        <is>
          <t>Canid (Beast)</t>
        </is>
      </c>
      <c r="N402" s="41" t="inlineStr">
        <is>
          <t>Fox</t>
        </is>
      </c>
      <c r="O402" s="41" t="inlineStr">
        <is>
          <t>Any</t>
        </is>
      </c>
      <c r="P402" s="42" t="inlineStr">
        <is>
          <t>Spare Fox: the first world already has 4 (a later world can use it)</t>
        </is>
      </c>
      <c r="Q402" s="41" t="inlineStr">
        <is>
          <t>Spare</t>
        </is>
      </c>
    </row>
    <row r="403" ht="15" customHeight="1" s="39">
      <c r="A403" s="41" t="inlineStr">
        <is>
          <t>Spare animals (not placed yet)</t>
        </is>
      </c>
      <c r="B403" s="41" t="n"/>
      <c r="C403" s="41" t="inlineStr">
        <is>
          <t>Trickster Fox</t>
        </is>
      </c>
      <c r="D403" s="41" t="inlineStr">
        <is>
          <t>trickster-fox</t>
        </is>
      </c>
      <c r="E403" s="41" t="n"/>
      <c r="F403" s="41" t="inlineStr">
        <is>
          <t>Common</t>
        </is>
      </c>
      <c r="G403" s="41" t="n">
        <v>1</v>
      </c>
      <c r="H403" s="41" t="n">
        <v>0</v>
      </c>
      <c r="I403" s="41" t="n">
        <v>3</v>
      </c>
      <c r="J403" s="41" t="n">
        <v>7</v>
      </c>
      <c r="K403" s="42" t="inlineStr">
        <is>
          <t>Swap</t>
        </is>
      </c>
      <c r="L403" s="41" t="n"/>
      <c r="M403" s="41" t="inlineStr">
        <is>
          <t>Canid (Beast)</t>
        </is>
      </c>
      <c r="N403" s="41" t="inlineStr">
        <is>
          <t>Fox</t>
        </is>
      </c>
      <c r="O403" s="41" t="inlineStr">
        <is>
          <t>Taiga</t>
        </is>
      </c>
      <c r="P403" s="42" t="inlineStr">
        <is>
          <t>Spare Fox: the first world already has 4 (a later world can use it)</t>
        </is>
      </c>
      <c r="Q403" s="41" t="inlineStr">
        <is>
          <t>Spare</t>
        </is>
      </c>
    </row>
    <row r="404" ht="23.25" customHeight="1" s="39">
      <c r="A404" s="41" t="inlineStr">
        <is>
          <t>Spare animals (not placed yet)</t>
        </is>
      </c>
      <c r="B404" s="41" t="n"/>
      <c r="C404" s="41" t="inlineStr">
        <is>
          <t>Camouflage Frog</t>
        </is>
      </c>
      <c r="D404" s="41" t="inlineStr">
        <is>
          <t>camouflage-frog</t>
        </is>
      </c>
      <c r="E404" s="41" t="n"/>
      <c r="F404" s="41" t="inlineStr">
        <is>
          <t>Common</t>
        </is>
      </c>
      <c r="G404" s="41" t="n">
        <v>1</v>
      </c>
      <c r="H404" s="41" t="n">
        <v>1</v>
      </c>
      <c r="I404" s="41" t="n">
        <v>3</v>
      </c>
      <c r="J404" s="41" t="n">
        <v>9</v>
      </c>
      <c r="K404" s="42" t="inlineStr">
        <is>
          <t>Evasive, Swimmer</t>
        </is>
      </c>
      <c r="L404" s="41" t="n"/>
      <c r="M404" s="41" t="inlineStr">
        <is>
          <t>Amphibian (Scaled)</t>
        </is>
      </c>
      <c r="N404" s="41" t="inlineStr">
        <is>
          <t>Frog &amp; Toad</t>
        </is>
      </c>
      <c r="O404" s="41" t="inlineStr">
        <is>
          <t>Any</t>
        </is>
      </c>
      <c r="P404" s="42" t="inlineStr">
        <is>
          <t>Spare Frog &amp; Toad: the first world already has 5 (a later world can use it)</t>
        </is>
      </c>
      <c r="Q404" s="41" t="inlineStr">
        <is>
          <t>Spare</t>
        </is>
      </c>
    </row>
    <row r="405" ht="23.25" customHeight="1" s="39">
      <c r="A405" s="41" t="inlineStr">
        <is>
          <t>Spare animals (not placed yet)</t>
        </is>
      </c>
      <c r="B405" s="41" t="n"/>
      <c r="C405" s="41" t="inlineStr">
        <is>
          <t>Poison Dart Croaker</t>
        </is>
      </c>
      <c r="D405" s="41" t="inlineStr">
        <is>
          <t>poison-dart-croaker</t>
        </is>
      </c>
      <c r="E405" s="41" t="n"/>
      <c r="F405" s="41" t="inlineStr">
        <is>
          <t>Common</t>
        </is>
      </c>
      <c r="G405" s="41" t="n">
        <v>1</v>
      </c>
      <c r="H405" s="41" t="n">
        <v>1</v>
      </c>
      <c r="I405" s="41" t="n">
        <v>3</v>
      </c>
      <c r="J405" s="41" t="n">
        <v>8</v>
      </c>
      <c r="K405" s="42" t="inlineStr">
        <is>
          <t>Poison 2, Swimmer</t>
        </is>
      </c>
      <c r="L405" s="41" t="n"/>
      <c r="M405" s="41" t="inlineStr">
        <is>
          <t>Amphibian (Scaled)</t>
        </is>
      </c>
      <c r="N405" s="41" t="inlineStr">
        <is>
          <t>Frog &amp; Toad</t>
        </is>
      </c>
      <c r="O405" s="41" t="inlineStr">
        <is>
          <t>Any</t>
        </is>
      </c>
      <c r="P405" s="42" t="inlineStr">
        <is>
          <t>Spare Frog &amp; Toad: the first world already has 5 (a later world can use it)</t>
        </is>
      </c>
      <c r="Q405" s="41" t="inlineStr">
        <is>
          <t>Spare</t>
        </is>
      </c>
    </row>
    <row r="406" ht="23.25" customHeight="1" s="39">
      <c r="A406" s="41" t="inlineStr">
        <is>
          <t>Spare animals (not placed yet)</t>
        </is>
      </c>
      <c r="B406" s="41" t="n"/>
      <c r="C406" s="41" t="inlineStr">
        <is>
          <t>Poison Dart Frog</t>
        </is>
      </c>
      <c r="D406" s="41" t="inlineStr">
        <is>
          <t>poison-dart-frog</t>
        </is>
      </c>
      <c r="E406" s="41" t="n"/>
      <c r="F406" s="41" t="inlineStr">
        <is>
          <t>Common</t>
        </is>
      </c>
      <c r="G406" s="41" t="n">
        <v>1</v>
      </c>
      <c r="H406" s="41" t="n">
        <v>0</v>
      </c>
      <c r="I406" s="41" t="n">
        <v>1</v>
      </c>
      <c r="J406" s="41" t="n">
        <v>6</v>
      </c>
      <c r="K406" s="42" t="inlineStr">
        <is>
          <t>Poison 3</t>
        </is>
      </c>
      <c r="L406" s="41" t="n"/>
      <c r="M406" s="41" t="inlineStr">
        <is>
          <t>Amphibian (Scaled)</t>
        </is>
      </c>
      <c r="N406" s="41" t="inlineStr">
        <is>
          <t>Frog &amp; Toad</t>
        </is>
      </c>
      <c r="O406" s="41" t="inlineStr">
        <is>
          <t>Rainforest</t>
        </is>
      </c>
      <c r="P406" s="42" t="inlineStr">
        <is>
          <t>Spare Frog &amp; Toad: the first world already has 5 (a later world can use it)</t>
        </is>
      </c>
      <c r="Q406" s="41" t="inlineStr">
        <is>
          <t>Spare</t>
        </is>
      </c>
    </row>
    <row r="407" ht="23.25" customHeight="1" s="39">
      <c r="A407" s="41" t="inlineStr">
        <is>
          <t>Spare animals (not placed yet)</t>
        </is>
      </c>
      <c r="B407" s="41" t="n"/>
      <c r="C407" s="41" t="inlineStr">
        <is>
          <t>Puddle Hopper</t>
        </is>
      </c>
      <c r="D407" s="41" t="inlineStr">
        <is>
          <t>puddle-hopper</t>
        </is>
      </c>
      <c r="E407" s="41" t="n"/>
      <c r="F407" s="41" t="inlineStr">
        <is>
          <t>Common</t>
        </is>
      </c>
      <c r="G407" s="41" t="n">
        <v>0</v>
      </c>
      <c r="H407" s="41" t="n">
        <v>0</v>
      </c>
      <c r="I407" s="41" t="n">
        <v>2</v>
      </c>
      <c r="J407" s="41" t="n">
        <v>6</v>
      </c>
      <c r="K407" s="42" t="inlineStr">
        <is>
          <t>Swimmer</t>
        </is>
      </c>
      <c r="L407" s="41" t="n"/>
      <c r="M407" s="41" t="inlineStr">
        <is>
          <t>Amphibian (Scaled)</t>
        </is>
      </c>
      <c r="N407" s="41" t="inlineStr">
        <is>
          <t>Frog &amp; Toad</t>
        </is>
      </c>
      <c r="O407" s="41" t="inlineStr">
        <is>
          <t>Any</t>
        </is>
      </c>
      <c r="P407" s="42" t="inlineStr">
        <is>
          <t>Spare Frog &amp; Toad: the first world already has 5 (a later world can use it)</t>
        </is>
      </c>
      <c r="Q407" s="41" t="inlineStr">
        <is>
          <t>Spare</t>
        </is>
      </c>
    </row>
    <row r="408" ht="23.25" customHeight="1" s="39">
      <c r="A408" s="41" t="inlineStr">
        <is>
          <t>Spare animals (not placed yet)</t>
        </is>
      </c>
      <c r="B408" s="41" t="n"/>
      <c r="C408" s="41" t="inlineStr">
        <is>
          <t>Rainmaker Frog</t>
        </is>
      </c>
      <c r="D408" s="41" t="inlineStr">
        <is>
          <t>rainmaker-frog</t>
        </is>
      </c>
      <c r="E408" s="41" t="n"/>
      <c r="F408" s="41" t="inlineStr">
        <is>
          <t>Uncommon</t>
        </is>
      </c>
      <c r="G408" s="41" t="n">
        <v>1</v>
      </c>
      <c r="H408" s="41" t="n">
        <v>1</v>
      </c>
      <c r="I408" s="41" t="n">
        <v>2</v>
      </c>
      <c r="J408" s="41" t="n">
        <v>10</v>
      </c>
      <c r="K408" s="42" t="inlineStr">
        <is>
          <t>Rainmaker 3, Swimmer</t>
        </is>
      </c>
      <c r="L408" s="41" t="n"/>
      <c r="M408" s="41" t="inlineStr">
        <is>
          <t>Amphibian (Scaled)</t>
        </is>
      </c>
      <c r="N408" s="41" t="inlineStr">
        <is>
          <t>Frog &amp; Toad</t>
        </is>
      </c>
      <c r="O408" s="41" t="inlineStr">
        <is>
          <t>Any</t>
        </is>
      </c>
      <c r="P408" s="42" t="inlineStr">
        <is>
          <t>Spare Frog &amp; Toad: the first world already has 5 (a later world can use it)</t>
        </is>
      </c>
      <c r="Q408" s="41" t="inlineStr">
        <is>
          <t>Spare</t>
        </is>
      </c>
    </row>
    <row r="409" ht="23.25" customHeight="1" s="39">
      <c r="A409" s="41" t="inlineStr">
        <is>
          <t>Spare animals (not placed yet)</t>
        </is>
      </c>
      <c r="B409" s="41" t="n"/>
      <c r="C409" s="41" t="inlineStr">
        <is>
          <t>Rockslide Ram</t>
        </is>
      </c>
      <c r="D409" s="41" t="inlineStr">
        <is>
          <t>rockslide-ram</t>
        </is>
      </c>
      <c r="E409" s="41" t="n"/>
      <c r="F409" s="41" t="inlineStr">
        <is>
          <t>Rare</t>
        </is>
      </c>
      <c r="G409" s="41" t="n">
        <v>1</v>
      </c>
      <c r="H409" s="41" t="n">
        <v>1</v>
      </c>
      <c r="I409" s="41" t="n">
        <v>3</v>
      </c>
      <c r="J409" s="41" t="n">
        <v>10</v>
      </c>
      <c r="K409" s="42" t="inlineStr">
        <is>
          <t>Build-up 1</t>
        </is>
      </c>
      <c r="L409" s="41" t="n"/>
      <c r="M409" s="41" t="inlineStr">
        <is>
          <t>Bovine (Beast)</t>
        </is>
      </c>
      <c r="N409" s="41" t="inlineStr">
        <is>
          <t>Goat &amp; Ox</t>
        </is>
      </c>
      <c r="O409" s="41" t="inlineStr">
        <is>
          <t>Mountain</t>
        </is>
      </c>
      <c r="P409" s="42" t="inlineStr">
        <is>
          <t>Spare Goat &amp; Ox: the first world already has 4 (a later world can use it)</t>
        </is>
      </c>
      <c r="Q409" s="41" t="inlineStr">
        <is>
          <t>Spare</t>
        </is>
      </c>
    </row>
    <row r="410" ht="23.25" customHeight="1" s="39">
      <c r="A410" s="41" t="inlineStr">
        <is>
          <t>Spare animals (not placed yet)</t>
        </is>
      </c>
      <c r="B410" s="41" t="n"/>
      <c r="C410" s="41" t="inlineStr">
        <is>
          <t>Tundra Musk Ox</t>
        </is>
      </c>
      <c r="D410" s="41" t="inlineStr">
        <is>
          <t>tundra-musk-ox</t>
        </is>
      </c>
      <c r="E410" s="41" t="n"/>
      <c r="F410" s="41" t="inlineStr">
        <is>
          <t>Common</t>
        </is>
      </c>
      <c r="G410" s="41" t="n">
        <v>2</v>
      </c>
      <c r="H410" s="41" t="n">
        <v>2</v>
      </c>
      <c r="I410" s="41" t="n">
        <v>5</v>
      </c>
      <c r="J410" s="41" t="n">
        <v>24</v>
      </c>
      <c r="K410" s="42" t="inlineStr">
        <is>
          <t>Thorns 2</t>
        </is>
      </c>
      <c r="L410" s="41" t="n"/>
      <c r="M410" s="41" t="inlineStr">
        <is>
          <t>Bovine (Beast)</t>
        </is>
      </c>
      <c r="N410" s="41" t="inlineStr">
        <is>
          <t>Goat &amp; Ox</t>
        </is>
      </c>
      <c r="O410" s="41" t="inlineStr">
        <is>
          <t>Ice</t>
        </is>
      </c>
      <c r="P410" s="42" t="inlineStr">
        <is>
          <t>Spare Goat &amp; Ox: the first world already has 4 (a later world can use it)</t>
        </is>
      </c>
      <c r="Q410" s="41" t="inlineStr">
        <is>
          <t>Spare</t>
        </is>
      </c>
    </row>
    <row r="411" ht="23.25" customHeight="1" s="39">
      <c r="A411" s="41" t="inlineStr">
        <is>
          <t>Spare animals (not placed yet)</t>
        </is>
      </c>
      <c r="B411" s="41" t="n"/>
      <c r="C411" s="41" t="inlineStr">
        <is>
          <t>Gatling Hog</t>
        </is>
      </c>
      <c r="D411" s="41" t="inlineStr">
        <is>
          <t>gatling-hog</t>
        </is>
      </c>
      <c r="E411" s="41" t="n"/>
      <c r="F411" s="41" t="inlineStr">
        <is>
          <t>Rare</t>
        </is>
      </c>
      <c r="G411" s="41" t="n">
        <v>1</v>
      </c>
      <c r="H411" s="41" t="n">
        <v>1</v>
      </c>
      <c r="I411" s="41" t="n">
        <v>2</v>
      </c>
      <c r="J411" s="41" t="n">
        <v>7</v>
      </c>
      <c r="K411" s="42" t="inlineStr">
        <is>
          <t>Arrow 1, Twin Strike</t>
        </is>
      </c>
      <c r="L411" s="41" t="n"/>
      <c r="M411" s="41" t="inlineStr">
        <is>
          <t>Mammal</t>
        </is>
      </c>
      <c r="N411" s="41" t="inlineStr">
        <is>
          <t>Hedgehog</t>
        </is>
      </c>
      <c r="O411" s="41" t="inlineStr">
        <is>
          <t>Any</t>
        </is>
      </c>
      <c r="P411" s="42" t="inlineStr">
        <is>
          <t>Spare Hedgehog: the first world already has 3 (a later world can use it)</t>
        </is>
      </c>
      <c r="Q411" s="41" t="inlineStr">
        <is>
          <t>Spare</t>
        </is>
      </c>
    </row>
    <row r="412" ht="23.25" customHeight="1" s="39">
      <c r="A412" s="41" t="inlineStr">
        <is>
          <t>Spare animals (not placed yet)</t>
        </is>
      </c>
      <c r="B412" s="41" t="n"/>
      <c r="C412" s="41" t="inlineStr">
        <is>
          <t>Plains Zebra</t>
        </is>
      </c>
      <c r="D412" s="41" t="inlineStr">
        <is>
          <t>plains-zebra</t>
        </is>
      </c>
      <c r="E412" s="41" t="n"/>
      <c r="F412" s="41" t="inlineStr">
        <is>
          <t>Rare</t>
        </is>
      </c>
      <c r="G412" s="41" t="n">
        <v>0</v>
      </c>
      <c r="H412" s="41" t="n">
        <v>0</v>
      </c>
      <c r="I412" s="41" t="n">
        <v>1</v>
      </c>
      <c r="J412" s="41" t="n">
        <v>9</v>
      </c>
      <c r="K412" s="42" t="inlineStr">
        <is>
          <t>Evasive</t>
        </is>
      </c>
      <c r="L412" s="41" t="n"/>
      <c r="M412" s="41" t="inlineStr">
        <is>
          <t>Equid (Beast)</t>
        </is>
      </c>
      <c r="N412" s="41" t="inlineStr">
        <is>
          <t>Horse</t>
        </is>
      </c>
      <c r="O412" s="41" t="inlineStr">
        <is>
          <t>Savanna</t>
        </is>
      </c>
      <c r="P412" s="42" t="inlineStr">
        <is>
          <t>Spare Horse: the first world already has 4 (a later world can use it)</t>
        </is>
      </c>
      <c r="Q412" s="41" t="inlineStr">
        <is>
          <t>Spare</t>
        </is>
      </c>
    </row>
    <row r="413" ht="23.25" customHeight="1" s="39">
      <c r="A413" s="41" t="inlineStr">
        <is>
          <t>Spare animals (not placed yet)</t>
        </is>
      </c>
      <c r="B413" s="41" t="n"/>
      <c r="C413" s="41" t="inlineStr">
        <is>
          <t>Warhorse Charger</t>
        </is>
      </c>
      <c r="D413" s="41" t="inlineStr">
        <is>
          <t>warhorse-charger</t>
        </is>
      </c>
      <c r="E413" s="41" t="n"/>
      <c r="F413" s="41" t="inlineStr">
        <is>
          <t>Common</t>
        </is>
      </c>
      <c r="G413" s="41" t="n">
        <v>2</v>
      </c>
      <c r="H413" s="41" t="n">
        <v>2</v>
      </c>
      <c r="I413" s="41" t="n">
        <v>8</v>
      </c>
      <c r="J413" s="41" t="n">
        <v>22</v>
      </c>
      <c r="K413" s="42" t="inlineStr">
        <is>
          <t>Bounty 1</t>
        </is>
      </c>
      <c r="L413" s="41" t="n"/>
      <c r="M413" s="41" t="inlineStr">
        <is>
          <t>Equid (Beast)</t>
        </is>
      </c>
      <c r="N413" s="41" t="inlineStr">
        <is>
          <t>Horse</t>
        </is>
      </c>
      <c r="O413" s="41" t="inlineStr">
        <is>
          <t>Any</t>
        </is>
      </c>
      <c r="P413" s="42" t="inlineStr">
        <is>
          <t>Spare Horse: the first world already has 4 (a later world can use it)</t>
        </is>
      </c>
      <c r="Q413" s="41" t="inlineStr">
        <is>
          <t>Spare</t>
        </is>
      </c>
    </row>
    <row r="414" ht="23.25" customHeight="1" s="39">
      <c r="A414" s="41" t="inlineStr">
        <is>
          <t>Spare animals (not placed yet)</t>
        </is>
      </c>
      <c r="B414" s="41" t="n"/>
      <c r="C414" s="41" t="inlineStr">
        <is>
          <t>Dune Jackal Scout</t>
        </is>
      </c>
      <c r="D414" s="41" t="inlineStr">
        <is>
          <t>dune-jackal-scout</t>
        </is>
      </c>
      <c r="E414" s="41" t="n"/>
      <c r="F414" s="41" t="inlineStr">
        <is>
          <t>Common</t>
        </is>
      </c>
      <c r="G414" s="41" t="n">
        <v>1</v>
      </c>
      <c r="H414" s="41" t="n">
        <v>0</v>
      </c>
      <c r="I414" s="41" t="n">
        <v>3</v>
      </c>
      <c r="J414" s="41" t="n">
        <v>6</v>
      </c>
      <c r="K414" s="42" t="inlineStr">
        <is>
          <t>Armor 1, Dry, Swift</t>
        </is>
      </c>
      <c r="L414" s="41" t="n"/>
      <c r="M414" s="41" t="inlineStr">
        <is>
          <t>Canid (Beast)</t>
        </is>
      </c>
      <c r="N414" s="41" t="inlineStr">
        <is>
          <t>Jackal &amp; Hyena</t>
        </is>
      </c>
      <c r="O414" s="41" t="inlineStr">
        <is>
          <t>Desert</t>
        </is>
      </c>
      <c r="P414" s="42" t="inlineStr">
        <is>
          <t>Spare Jackal &amp; Hyena: the first world already has 3 (a later world can use it)</t>
        </is>
      </c>
      <c r="Q414" s="41" t="inlineStr">
        <is>
          <t>Spare</t>
        </is>
      </c>
    </row>
    <row r="415" ht="23.25" customHeight="1" s="39">
      <c r="A415" s="41" t="inlineStr">
        <is>
          <t>Spare animals (not placed yet)</t>
        </is>
      </c>
      <c r="B415" s="41" t="n"/>
      <c r="C415" s="41" t="inlineStr">
        <is>
          <t>Frillneck Duelist</t>
        </is>
      </c>
      <c r="D415" s="41" t="inlineStr">
        <is>
          <t>frillneck-duelist</t>
        </is>
      </c>
      <c r="E415" s="41" t="n"/>
      <c r="F415" s="41" t="inlineStr">
        <is>
          <t>Rare</t>
        </is>
      </c>
      <c r="G415" s="41" t="n">
        <v>2</v>
      </c>
      <c r="H415" s="41" t="n">
        <v>1</v>
      </c>
      <c r="I415" s="41" t="n">
        <v>3</v>
      </c>
      <c r="J415" s="41" t="n">
        <v>11</v>
      </c>
      <c r="K415" s="42" t="inlineStr">
        <is>
          <t>Quick, Bludgeon, Dry</t>
        </is>
      </c>
      <c r="L415" s="41" t="n"/>
      <c r="M415" s="41" t="inlineStr">
        <is>
          <t>Reptile (Scaled)</t>
        </is>
      </c>
      <c r="N415" s="41" t="inlineStr">
        <is>
          <t>Lizard</t>
        </is>
      </c>
      <c r="O415" s="41" t="inlineStr">
        <is>
          <t>Desert</t>
        </is>
      </c>
      <c r="P415" s="42" t="inlineStr">
        <is>
          <t>Spare Lizard: the first world already has 3 (a later world can use it)</t>
        </is>
      </c>
      <c r="Q415" s="41" t="inlineStr">
        <is>
          <t>Spare</t>
        </is>
      </c>
    </row>
    <row r="416" ht="23.25" customHeight="1" s="39">
      <c r="A416" s="41" t="inlineStr">
        <is>
          <t>Spare animals (not placed yet)</t>
        </is>
      </c>
      <c r="B416" s="41" t="n"/>
      <c r="C416" s="41" t="inlineStr">
        <is>
          <t>Monitor Rambler</t>
        </is>
      </c>
      <c r="D416" s="41" t="inlineStr">
        <is>
          <t>monitor-rambler</t>
        </is>
      </c>
      <c r="E416" s="41" t="n"/>
      <c r="F416" s="41" t="inlineStr">
        <is>
          <t>Uncommon</t>
        </is>
      </c>
      <c r="G416" s="41" t="n">
        <v>2</v>
      </c>
      <c r="H416" s="41" t="n">
        <v>2</v>
      </c>
      <c r="I416" s="41" t="n">
        <v>4</v>
      </c>
      <c r="J416" s="41" t="n">
        <v>16</v>
      </c>
      <c r="K416" s="42" t="inlineStr">
        <is>
          <t>Armor 2, Thorns 1</t>
        </is>
      </c>
      <c r="L416" s="41" t="n"/>
      <c r="M416" s="41" t="inlineStr">
        <is>
          <t>Reptile (Scaled)</t>
        </is>
      </c>
      <c r="N416" s="41" t="inlineStr">
        <is>
          <t>Lizard</t>
        </is>
      </c>
      <c r="O416" s="41" t="inlineStr">
        <is>
          <t>Savanna</t>
        </is>
      </c>
      <c r="P416" s="42" t="inlineStr">
        <is>
          <t>Spare Lizard: the first world already has 3 (a later world can use it)</t>
        </is>
      </c>
      <c r="Q416" s="41" t="inlineStr">
        <is>
          <t>Spare</t>
        </is>
      </c>
    </row>
    <row r="417" ht="23.25" customHeight="1" s="39">
      <c r="A417" s="41" t="inlineStr">
        <is>
          <t>Spare animals (not placed yet)</t>
        </is>
      </c>
      <c r="B417" s="41" t="n"/>
      <c r="C417" s="41" t="inlineStr">
        <is>
          <t>Thorny Devil</t>
        </is>
      </c>
      <c r="D417" s="41" t="inlineStr">
        <is>
          <t>thorny-devil</t>
        </is>
      </c>
      <c r="E417" s="41" t="n"/>
      <c r="F417" s="41" t="inlineStr">
        <is>
          <t>Common</t>
        </is>
      </c>
      <c r="G417" s="41" t="n">
        <v>2</v>
      </c>
      <c r="H417" s="41" t="n">
        <v>2</v>
      </c>
      <c r="I417" s="41" t="n">
        <v>2</v>
      </c>
      <c r="J417" s="41" t="n">
        <v>14</v>
      </c>
      <c r="K417" s="42" t="inlineStr">
        <is>
          <t>Thorns 2, Dry</t>
        </is>
      </c>
      <c r="L417" s="41" t="n"/>
      <c r="M417" s="41" t="inlineStr">
        <is>
          <t>Reptile (Scaled)</t>
        </is>
      </c>
      <c r="N417" s="41" t="inlineStr">
        <is>
          <t>Lizard</t>
        </is>
      </c>
      <c r="O417" s="41" t="inlineStr">
        <is>
          <t>Desert</t>
        </is>
      </c>
      <c r="P417" s="42" t="inlineStr">
        <is>
          <t>Spare Lizard: the first world already has 3 (a later world can use it)</t>
        </is>
      </c>
      <c r="Q417" s="41" t="inlineStr">
        <is>
          <t>Spare</t>
        </is>
      </c>
    </row>
    <row r="418" ht="23.25" customHeight="1" s="39">
      <c r="A418" s="41" t="inlineStr">
        <is>
          <t>Spare animals (not placed yet)</t>
        </is>
      </c>
      <c r="B418" s="41" t="n"/>
      <c r="C418" s="41" t="inlineStr">
        <is>
          <t>Monarch Wingblade</t>
        </is>
      </c>
      <c r="D418" s="41" t="inlineStr">
        <is>
          <t>monarch-wingblade</t>
        </is>
      </c>
      <c r="E418" s="41" t="n"/>
      <c r="F418" s="41" t="inlineStr">
        <is>
          <t>Rare</t>
        </is>
      </c>
      <c r="G418" s="41" t="n">
        <v>1</v>
      </c>
      <c r="H418" s="41" t="n">
        <v>1</v>
      </c>
      <c r="I418" s="41" t="n">
        <v>5</v>
      </c>
      <c r="J418" s="41" t="n">
        <v>9</v>
      </c>
      <c r="K418" s="42" t="inlineStr">
        <is>
          <t>Poison 1, Bounty 1, Flying</t>
        </is>
      </c>
      <c r="L418" s="41" t="n"/>
      <c r="M418" s="41" t="inlineStr">
        <is>
          <t>Insect (Arthropod)</t>
        </is>
      </c>
      <c r="N418" s="41" t="inlineStr">
        <is>
          <t>Moth &amp; Butterfly</t>
        </is>
      </c>
      <c r="O418" s="41" t="inlineStr">
        <is>
          <t>Any</t>
        </is>
      </c>
      <c r="P418" s="42" t="inlineStr">
        <is>
          <t>Spare Moth &amp; Butterfly: the first world already has 4 (a later world can use it)</t>
        </is>
      </c>
      <c r="Q418" s="41" t="inlineStr">
        <is>
          <t>Spare</t>
        </is>
      </c>
    </row>
    <row r="419" ht="23.25" customHeight="1" s="39">
      <c r="A419" s="41" t="inlineStr">
        <is>
          <t>Spare animals (not placed yet)</t>
        </is>
      </c>
      <c r="B419" s="41" t="n"/>
      <c r="C419" s="41" t="inlineStr">
        <is>
          <t>Sulfur Cinder Moth</t>
        </is>
      </c>
      <c r="D419" s="41" t="inlineStr">
        <is>
          <t>sulfur-cinder-moth</t>
        </is>
      </c>
      <c r="E419" s="41" t="n"/>
      <c r="F419" s="41" t="inlineStr">
        <is>
          <t>Common</t>
        </is>
      </c>
      <c r="G419" s="41" t="n">
        <v>1</v>
      </c>
      <c r="H419" s="41" t="n">
        <v>0</v>
      </c>
      <c r="I419" s="41" t="n">
        <v>2</v>
      </c>
      <c r="J419" s="41" t="n">
        <v>6</v>
      </c>
      <c r="K419" s="42" t="inlineStr">
        <is>
          <t>Death Burst 2, Flying, Nocturnal</t>
        </is>
      </c>
      <c r="L419" s="41" t="n"/>
      <c r="M419" s="41" t="inlineStr">
        <is>
          <t>Insect (Arthropod)</t>
        </is>
      </c>
      <c r="N419" s="41" t="inlineStr">
        <is>
          <t>Moth &amp; Butterfly</t>
        </is>
      </c>
      <c r="O419" s="41" t="inlineStr">
        <is>
          <t>Cave</t>
        </is>
      </c>
      <c r="P419" s="42" t="inlineStr">
        <is>
          <t>Spare Moth &amp; Butterfly: the first world already has 4 (a later world can use it)</t>
        </is>
      </c>
      <c r="Q419" s="41" t="inlineStr">
        <is>
          <t>Spare</t>
        </is>
      </c>
    </row>
    <row r="420" ht="23.25" customHeight="1" s="39">
      <c r="A420" s="41" t="inlineStr">
        <is>
          <t>Spare animals (not placed yet)</t>
        </is>
      </c>
      <c r="B420" s="41" t="n"/>
      <c r="C420" s="41" t="inlineStr">
        <is>
          <t>Balloon Archer</t>
        </is>
      </c>
      <c r="D420" s="41" t="inlineStr">
        <is>
          <t>balloon-archer</t>
        </is>
      </c>
      <c r="E420" s="41" t="n"/>
      <c r="F420" s="41" t="inlineStr">
        <is>
          <t>Uncommon</t>
        </is>
      </c>
      <c r="G420" s="41" t="n">
        <v>2</v>
      </c>
      <c r="H420" s="41" t="n">
        <v>2</v>
      </c>
      <c r="I420" s="41" t="n">
        <v>1</v>
      </c>
      <c r="J420" s="41" t="n">
        <v>8</v>
      </c>
      <c r="K420" s="42" t="inlineStr">
        <is>
          <t>Flying, Arrow 2</t>
        </is>
      </c>
      <c r="L420" s="41" t="n"/>
      <c r="M420" s="41" t="inlineStr">
        <is>
          <t>Rodent (Beast)</t>
        </is>
      </c>
      <c r="N420" s="41" t="inlineStr">
        <is>
          <t>Mouse &amp; Rat</t>
        </is>
      </c>
      <c r="O420" s="41" t="inlineStr">
        <is>
          <t>Village and farm</t>
        </is>
      </c>
      <c r="P420" s="42" t="inlineStr">
        <is>
          <t>Spare Mouse &amp; Rat: the first world already has 5 (a later world can use it)</t>
        </is>
      </c>
      <c r="Q420" s="41" t="inlineStr">
        <is>
          <t>Spare</t>
        </is>
      </c>
    </row>
    <row r="421" ht="23.25" customHeight="1" s="39">
      <c r="A421" s="41" t="inlineStr">
        <is>
          <t>Spare animals (not placed yet)</t>
        </is>
      </c>
      <c r="B421" s="41" t="n"/>
      <c r="C421" s="41" t="inlineStr">
        <is>
          <t>Dormouse</t>
        </is>
      </c>
      <c r="D421" s="41" t="inlineStr">
        <is>
          <t>dormouse</t>
        </is>
      </c>
      <c r="E421" s="41" t="n"/>
      <c r="F421" s="41" t="inlineStr">
        <is>
          <t>Common</t>
        </is>
      </c>
      <c r="G421" s="41" t="n">
        <v>0</v>
      </c>
      <c r="H421" s="41" t="n">
        <v>0</v>
      </c>
      <c r="I421" s="41" t="n">
        <v>2</v>
      </c>
      <c r="J421" s="41" t="n">
        <v>5</v>
      </c>
      <c r="K421" s="42" t="inlineStr">
        <is>
          <t>—</t>
        </is>
      </c>
      <c r="L421" s="41" t="n"/>
      <c r="M421" s="41" t="inlineStr">
        <is>
          <t>Rodent (Beast)</t>
        </is>
      </c>
      <c r="N421" s="41" t="inlineStr">
        <is>
          <t>Mouse &amp; Rat</t>
        </is>
      </c>
      <c r="O421" s="41" t="inlineStr">
        <is>
          <t>Any</t>
        </is>
      </c>
      <c r="P421" s="42" t="inlineStr">
        <is>
          <t>Spare Mouse &amp; Rat: the first world already has 5 (a later world can use it)</t>
        </is>
      </c>
      <c r="Q421" s="41" t="inlineStr">
        <is>
          <t>Spare</t>
        </is>
      </c>
    </row>
    <row r="422" ht="23.25" customHeight="1" s="39">
      <c r="A422" s="41" t="inlineStr">
        <is>
          <t>Spare animals (not placed yet)</t>
        </is>
      </c>
      <c r="B422" s="41" t="n"/>
      <c r="C422" s="41" t="inlineStr">
        <is>
          <t>Dynamite Packrat</t>
        </is>
      </c>
      <c r="D422" s="41" t="inlineStr">
        <is>
          <t>dynamite-packrat</t>
        </is>
      </c>
      <c r="E422" s="41" t="n"/>
      <c r="F422" s="41" t="inlineStr">
        <is>
          <t>Uncommon</t>
        </is>
      </c>
      <c r="G422" s="41" t="n">
        <v>0</v>
      </c>
      <c r="H422" s="41" t="n">
        <v>0</v>
      </c>
      <c r="I422" s="41" t="n">
        <v>1</v>
      </c>
      <c r="J422" s="41" t="n">
        <v>18</v>
      </c>
      <c r="K422" s="42" t="inlineStr">
        <is>
          <t>Dynamite 3</t>
        </is>
      </c>
      <c r="L422" s="41" t="n"/>
      <c r="M422" s="41" t="inlineStr">
        <is>
          <t>Rodent (Beast)</t>
        </is>
      </c>
      <c r="N422" s="41" t="inlineStr">
        <is>
          <t>Mouse &amp; Rat</t>
        </is>
      </c>
      <c r="O422" s="41" t="inlineStr">
        <is>
          <t>Cave</t>
        </is>
      </c>
      <c r="P422" s="42" t="inlineStr">
        <is>
          <t>Spare Mouse &amp; Rat: the first world already has 5 (a later world can use it)</t>
        </is>
      </c>
      <c r="Q422" s="41" t="inlineStr">
        <is>
          <t>Spare</t>
        </is>
      </c>
    </row>
    <row r="423" ht="23.25" customHeight="1" s="39">
      <c r="A423" s="41" t="inlineStr">
        <is>
          <t>Spare animals (not placed yet)</t>
        </is>
      </c>
      <c r="B423" s="41" t="n"/>
      <c r="C423" s="41" t="inlineStr">
        <is>
          <t>Land Tiller</t>
        </is>
      </c>
      <c r="D423" s="41" t="inlineStr">
        <is>
          <t>land-tiller</t>
        </is>
      </c>
      <c r="E423" s="41" t="n"/>
      <c r="F423" s="41" t="inlineStr">
        <is>
          <t>Common</t>
        </is>
      </c>
      <c r="G423" s="41" t="n">
        <v>0</v>
      </c>
      <c r="H423" s="41" t="n">
        <v>0</v>
      </c>
      <c r="I423" s="41" t="n">
        <v>1</v>
      </c>
      <c r="J423" s="41" t="n">
        <v>5</v>
      </c>
      <c r="K423" s="42" t="inlineStr">
        <is>
          <t>Lumber when Ready 1</t>
        </is>
      </c>
      <c r="L423" s="41" t="n"/>
      <c r="M423" s="41" t="inlineStr">
        <is>
          <t>Rodent (Beast)</t>
        </is>
      </c>
      <c r="N423" s="41" t="inlineStr">
        <is>
          <t>Mouse &amp; Rat</t>
        </is>
      </c>
      <c r="O423" s="41" t="inlineStr">
        <is>
          <t>Village and farm</t>
        </is>
      </c>
      <c r="P423" s="42" t="inlineStr">
        <is>
          <t>Spare Mouse &amp; Rat: the first world already has 5 (a later world can use it)</t>
        </is>
      </c>
      <c r="Q423" s="41" t="inlineStr">
        <is>
          <t>Spare</t>
        </is>
      </c>
    </row>
    <row r="424" ht="23.25" customHeight="1" s="39">
      <c r="A424" s="41" t="inlineStr">
        <is>
          <t>Spare animals (not placed yet)</t>
        </is>
      </c>
      <c r="B424" s="41" t="n"/>
      <c r="C424" s="41" t="inlineStr">
        <is>
          <t>Mouse Sapper</t>
        </is>
      </c>
      <c r="D424" s="41" t="inlineStr">
        <is>
          <t>mouse-sapper</t>
        </is>
      </c>
      <c r="E424" s="41" t="n"/>
      <c r="F424" s="41" t="inlineStr">
        <is>
          <t>Common</t>
        </is>
      </c>
      <c r="G424" s="41" t="n">
        <v>1</v>
      </c>
      <c r="H424" s="41" t="n">
        <v>1</v>
      </c>
      <c r="I424" s="41" t="n">
        <v>3</v>
      </c>
      <c r="J424" s="41" t="n">
        <v>9</v>
      </c>
      <c r="K424" s="42" t="inlineStr">
        <is>
          <t>Demolisher 1</t>
        </is>
      </c>
      <c r="L424" s="41" t="n"/>
      <c r="M424" s="41" t="inlineStr">
        <is>
          <t>Rodent (Beast)</t>
        </is>
      </c>
      <c r="N424" s="41" t="inlineStr">
        <is>
          <t>Mouse &amp; Rat</t>
        </is>
      </c>
      <c r="O424" s="41" t="inlineStr">
        <is>
          <t>Any</t>
        </is>
      </c>
      <c r="P424" s="42" t="inlineStr">
        <is>
          <t>Spare Mouse &amp; Rat: the first world already has 5 (a later world can use it)</t>
        </is>
      </c>
      <c r="Q424" s="41" t="inlineStr">
        <is>
          <t>Spare</t>
        </is>
      </c>
    </row>
    <row r="425" ht="23.25" customHeight="1" s="39">
      <c r="A425" s="41" t="inlineStr">
        <is>
          <t>Spare animals (not placed yet)</t>
        </is>
      </c>
      <c r="B425" s="41" t="n"/>
      <c r="C425" s="41" t="inlineStr">
        <is>
          <t>Pack Rat Looter</t>
        </is>
      </c>
      <c r="D425" s="41" t="inlineStr">
        <is>
          <t>pack-rat-looter</t>
        </is>
      </c>
      <c r="E425" s="41" t="n"/>
      <c r="F425" s="41" t="inlineStr">
        <is>
          <t>Common</t>
        </is>
      </c>
      <c r="G425" s="41" t="n">
        <v>1</v>
      </c>
      <c r="H425" s="41" t="n">
        <v>0</v>
      </c>
      <c r="I425" s="41" t="n">
        <v>2</v>
      </c>
      <c r="J425" s="41" t="n">
        <v>10</v>
      </c>
      <c r="K425" s="42" t="inlineStr">
        <is>
          <t>Loot 1</t>
        </is>
      </c>
      <c r="L425" s="41" t="n"/>
      <c r="M425" s="41" t="inlineStr">
        <is>
          <t>Rodent (Beast)</t>
        </is>
      </c>
      <c r="N425" s="41" t="inlineStr">
        <is>
          <t>Mouse &amp; Rat</t>
        </is>
      </c>
      <c r="O425" s="41" t="inlineStr">
        <is>
          <t>Any</t>
        </is>
      </c>
      <c r="P425" s="42" t="inlineStr">
        <is>
          <t>Spare Mouse &amp; Rat: the first world already has 5 (a later world can use it)</t>
        </is>
      </c>
      <c r="Q425" s="41" t="inlineStr">
        <is>
          <t>Spare</t>
        </is>
      </c>
    </row>
    <row r="426" ht="23.25" customHeight="1" s="39">
      <c r="A426" s="41" t="inlineStr">
        <is>
          <t>Spare animals (not placed yet)</t>
        </is>
      </c>
      <c r="B426" s="41" t="n"/>
      <c r="C426" s="41" t="inlineStr">
        <is>
          <t>Village Miller</t>
        </is>
      </c>
      <c r="D426" s="41" t="inlineStr">
        <is>
          <t>village-miller</t>
        </is>
      </c>
      <c r="E426" s="41" t="n"/>
      <c r="F426" s="41" t="inlineStr">
        <is>
          <t>Common</t>
        </is>
      </c>
      <c r="G426" s="41" t="n">
        <v>0</v>
      </c>
      <c r="H426" s="41" t="n">
        <v>0</v>
      </c>
      <c r="I426" s="41" t="n">
        <v>2</v>
      </c>
      <c r="J426" s="41" t="n">
        <v>4</v>
      </c>
      <c r="K426" s="42" t="inlineStr">
        <is>
          <t>Worthy 1</t>
        </is>
      </c>
      <c r="L426" s="41" t="n"/>
      <c r="M426" s="41" t="inlineStr">
        <is>
          <t>Rodent (Beast)</t>
        </is>
      </c>
      <c r="N426" s="41" t="inlineStr">
        <is>
          <t>Mouse &amp; Rat</t>
        </is>
      </c>
      <c r="O426" s="41" t="inlineStr">
        <is>
          <t>Village and farm</t>
        </is>
      </c>
      <c r="P426" s="42" t="inlineStr">
        <is>
          <t>Spare Mouse &amp; Rat: the first world already has 5 (a later world can use it)</t>
        </is>
      </c>
      <c r="Q426" s="41" t="inlineStr">
        <is>
          <t>Spare</t>
        </is>
      </c>
    </row>
    <row r="427" ht="23.25" customHeight="1" s="39">
      <c r="A427" s="41" t="inlineStr">
        <is>
          <t>Spare animals (not placed yet)</t>
        </is>
      </c>
      <c r="B427" s="41" t="n"/>
      <c r="C427" s="41" t="inlineStr">
        <is>
          <t>Kraken Spawnling</t>
        </is>
      </c>
      <c r="D427" s="41" t="inlineStr">
        <is>
          <t>kraken-spawnling</t>
        </is>
      </c>
      <c r="E427" s="41" t="n"/>
      <c r="F427" s="41" t="inlineStr">
        <is>
          <t>Common</t>
        </is>
      </c>
      <c r="G427" s="41" t="n">
        <v>3</v>
      </c>
      <c r="H427" s="41" t="n">
        <v>2</v>
      </c>
      <c r="I427" s="41" t="n">
        <v>9</v>
      </c>
      <c r="J427" s="41" t="n">
        <v>34</v>
      </c>
      <c r="K427" s="42" t="inlineStr">
        <is>
          <t>Fork, Gash 3</t>
        </is>
      </c>
      <c r="L427" s="41" t="n"/>
      <c r="M427" s="41" t="inlineStr">
        <is>
          <t>Mollusc (Aquatic)</t>
        </is>
      </c>
      <c r="N427" s="41" t="inlineStr">
        <is>
          <t>Octopus &amp; Squid</t>
        </is>
      </c>
      <c r="O427" s="41" t="inlineStr">
        <is>
          <t>Any</t>
        </is>
      </c>
      <c r="P427" s="42" t="inlineStr">
        <is>
          <t>Spare Octopus &amp; Squid: the first world already has 3 (a later world can use it)</t>
        </is>
      </c>
      <c r="Q427" s="41" t="inlineStr">
        <is>
          <t>Spare</t>
        </is>
      </c>
    </row>
    <row r="428" ht="23.25" customHeight="1" s="39">
      <c r="A428" s="41" t="inlineStr">
        <is>
          <t>Spare animals (not placed yet)</t>
        </is>
      </c>
      <c r="B428" s="41" t="n"/>
      <c r="C428" s="41" t="inlineStr">
        <is>
          <t>Nautilus Drifter</t>
        </is>
      </c>
      <c r="D428" s="41" t="inlineStr">
        <is>
          <t>nautilus-drifter</t>
        </is>
      </c>
      <c r="E428" s="41" t="n"/>
      <c r="F428" s="41" t="inlineStr">
        <is>
          <t>Rare</t>
        </is>
      </c>
      <c r="G428" s="41" t="n">
        <v>1</v>
      </c>
      <c r="H428" s="41" t="n">
        <v>3</v>
      </c>
      <c r="I428" s="41" t="n">
        <v>3</v>
      </c>
      <c r="J428" s="41" t="n">
        <v>24</v>
      </c>
      <c r="K428" s="42" t="inlineStr">
        <is>
          <t>Lumber when Ready 1, Bounty 1</t>
        </is>
      </c>
      <c r="L428" s="41" t="n"/>
      <c r="M428" s="41" t="inlineStr">
        <is>
          <t>Mollusc (Aquatic)</t>
        </is>
      </c>
      <c r="N428" s="41" t="inlineStr">
        <is>
          <t>Octopus &amp; Squid</t>
        </is>
      </c>
      <c r="O428" s="41" t="inlineStr">
        <is>
          <t>Any</t>
        </is>
      </c>
      <c r="P428" s="42" t="inlineStr">
        <is>
          <t>Spare Octopus &amp; Squid: the first world already has 3 (a later world can use it)</t>
        </is>
      </c>
      <c r="Q428" s="41" t="inlineStr">
        <is>
          <t>Spare</t>
        </is>
      </c>
    </row>
    <row r="429" ht="23.25" customHeight="1" s="39">
      <c r="A429" s="41" t="inlineStr">
        <is>
          <t>Spare animals (not placed yet)</t>
        </is>
      </c>
      <c r="B429" s="41" t="n"/>
      <c r="C429" s="41" t="inlineStr">
        <is>
          <t>Great Horned Owl</t>
        </is>
      </c>
      <c r="D429" s="41" t="inlineStr">
        <is>
          <t>great-horned-owl</t>
        </is>
      </c>
      <c r="E429" s="41" t="n"/>
      <c r="F429" s="41" t="inlineStr">
        <is>
          <t>Common</t>
        </is>
      </c>
      <c r="G429" s="41" t="n">
        <v>2</v>
      </c>
      <c r="H429" s="41" t="n">
        <v>3</v>
      </c>
      <c r="I429" s="41" t="n">
        <v>7</v>
      </c>
      <c r="J429" s="41" t="n">
        <v>22</v>
      </c>
      <c r="K429" s="42" t="inlineStr">
        <is>
          <t>Ready Strike 4, Bounty 1, Flying, Nocturnal</t>
        </is>
      </c>
      <c r="L429" s="41" t="n"/>
      <c r="M429" s="41" t="inlineStr">
        <is>
          <t>Bird</t>
        </is>
      </c>
      <c r="N429" s="41" t="inlineStr">
        <is>
          <t>Owl</t>
        </is>
      </c>
      <c r="O429" s="41" t="inlineStr">
        <is>
          <t>Any</t>
        </is>
      </c>
      <c r="P429" s="42" t="inlineStr">
        <is>
          <t>Spare Owl: the first world already has 5 (a later world can use it)</t>
        </is>
      </c>
      <c r="Q429" s="41" t="inlineStr">
        <is>
          <t>Spare</t>
        </is>
      </c>
    </row>
    <row r="430" ht="23.25" customHeight="1" s="39">
      <c r="A430" s="41" t="inlineStr">
        <is>
          <t>Spare animals (not placed yet)</t>
        </is>
      </c>
      <c r="B430" s="41" t="n"/>
      <c r="C430" s="41" t="inlineStr">
        <is>
          <t>Quillguard</t>
        </is>
      </c>
      <c r="D430" s="41" t="inlineStr">
        <is>
          <t>quillguard</t>
        </is>
      </c>
      <c r="E430" s="41" t="n"/>
      <c r="F430" s="41" t="inlineStr">
        <is>
          <t>Rare</t>
        </is>
      </c>
      <c r="G430" s="41" t="n">
        <v>1</v>
      </c>
      <c r="H430" s="41" t="n">
        <v>2</v>
      </c>
      <c r="I430" s="41" t="n">
        <v>4</v>
      </c>
      <c r="J430" s="41" t="n">
        <v>22</v>
      </c>
      <c r="K430" s="42" t="inlineStr">
        <is>
          <t>Bounty 1</t>
        </is>
      </c>
      <c r="L430" s="41" t="n"/>
      <c r="M430" s="41" t="inlineStr">
        <is>
          <t>Rodent (Beast)</t>
        </is>
      </c>
      <c r="N430" s="41" t="inlineStr">
        <is>
          <t>Porcupine</t>
        </is>
      </c>
      <c r="O430" s="41" t="inlineStr">
        <is>
          <t>Any</t>
        </is>
      </c>
      <c r="P430" s="42" t="inlineStr">
        <is>
          <t>Spare Porcupine: the first world already has 3 (a later world can use it)</t>
        </is>
      </c>
      <c r="Q430" s="41" t="inlineStr">
        <is>
          <t>Spare</t>
        </is>
      </c>
    </row>
    <row r="431" ht="23.25" customHeight="1" s="39">
      <c r="A431" s="41" t="inlineStr">
        <is>
          <t>Spare animals (not placed yet)</t>
        </is>
      </c>
      <c r="B431" s="41" t="n"/>
      <c r="C431" s="41" t="inlineStr">
        <is>
          <t>Buck Brawler</t>
        </is>
      </c>
      <c r="D431" s="41" t="inlineStr">
        <is>
          <t>buck-brawler</t>
        </is>
      </c>
      <c r="E431" s="41" t="n"/>
      <c r="F431" s="41" t="inlineStr">
        <is>
          <t>Common</t>
        </is>
      </c>
      <c r="G431" s="41" t="n">
        <v>2</v>
      </c>
      <c r="H431" s="41" t="n">
        <v>2</v>
      </c>
      <c r="I431" s="41" t="n">
        <v>6</v>
      </c>
      <c r="J431" s="41" t="n">
        <v>20</v>
      </c>
      <c r="K431" s="42" t="inlineStr">
        <is>
          <t>Bounty 1</t>
        </is>
      </c>
      <c r="L431" s="41" t="n"/>
      <c r="M431" s="41" t="inlineStr">
        <is>
          <t>Lagomorph (Beast)</t>
        </is>
      </c>
      <c r="N431" s="41" t="inlineStr">
        <is>
          <t>Rabbit &amp; Hare</t>
        </is>
      </c>
      <c r="O431" s="41" t="inlineStr">
        <is>
          <t>Any</t>
        </is>
      </c>
      <c r="P431" s="42" t="inlineStr">
        <is>
          <t>Spare Rabbit &amp; Hare: the first world already has 5 (a later world can use it)</t>
        </is>
      </c>
      <c r="Q431" s="41" t="inlineStr">
        <is>
          <t>Spare</t>
        </is>
      </c>
    </row>
    <row r="432" ht="23.25" customHeight="1" s="39">
      <c r="A432" s="41" t="inlineStr">
        <is>
          <t>Spare animals (not placed yet)</t>
        </is>
      </c>
      <c r="B432" s="41" t="n"/>
      <c r="C432" s="41" t="inlineStr">
        <is>
          <t>Frost Hare Sprinter</t>
        </is>
      </c>
      <c r="D432" s="41" t="inlineStr">
        <is>
          <t>frost-hare-sprinter</t>
        </is>
      </c>
      <c r="E432" s="41" t="n"/>
      <c r="F432" s="41" t="inlineStr">
        <is>
          <t>Common</t>
        </is>
      </c>
      <c r="G432" s="41" t="n">
        <v>0</v>
      </c>
      <c r="H432" s="41" t="n">
        <v>0</v>
      </c>
      <c r="I432" s="41" t="n">
        <v>2</v>
      </c>
      <c r="J432" s="41" t="n">
        <v>3</v>
      </c>
      <c r="K432" s="42" t="inlineStr">
        <is>
          <t>Evasive</t>
        </is>
      </c>
      <c r="L432" s="41" t="n"/>
      <c r="M432" s="41" t="inlineStr">
        <is>
          <t>Lagomorph (Beast)</t>
        </is>
      </c>
      <c r="N432" s="41" t="inlineStr">
        <is>
          <t>Rabbit &amp; Hare</t>
        </is>
      </c>
      <c r="O432" s="41" t="inlineStr">
        <is>
          <t>Ice</t>
        </is>
      </c>
      <c r="P432" s="42" t="inlineStr">
        <is>
          <t>Spare Rabbit &amp; Hare: the first world already has 5 (a later world can use it)</t>
        </is>
      </c>
      <c r="Q432" s="41" t="inlineStr">
        <is>
          <t>Spare</t>
        </is>
      </c>
    </row>
    <row r="433" ht="23.25" customHeight="1" s="39">
      <c r="A433" s="41" t="inlineStr">
        <is>
          <t>Spare animals (not placed yet)</t>
        </is>
      </c>
      <c r="B433" s="41" t="n"/>
      <c r="C433" s="41" t="inlineStr">
        <is>
          <t>Jackrabbit Sprinter</t>
        </is>
      </c>
      <c r="D433" s="41" t="inlineStr">
        <is>
          <t>jackrabbit-sprinter</t>
        </is>
      </c>
      <c r="E433" s="41" t="n"/>
      <c r="F433" s="41" t="inlineStr">
        <is>
          <t>Common</t>
        </is>
      </c>
      <c r="G433" s="41" t="n">
        <v>1</v>
      </c>
      <c r="H433" s="41" t="n">
        <v>0</v>
      </c>
      <c r="I433" s="41" t="n">
        <v>3</v>
      </c>
      <c r="J433" s="41" t="n">
        <v>8</v>
      </c>
      <c r="K433" s="42" t="inlineStr">
        <is>
          <t>Quick</t>
        </is>
      </c>
      <c r="L433" s="41" t="n"/>
      <c r="M433" s="41" t="inlineStr">
        <is>
          <t>Lagomorph (Beast)</t>
        </is>
      </c>
      <c r="N433" s="41" t="inlineStr">
        <is>
          <t>Rabbit &amp; Hare</t>
        </is>
      </c>
      <c r="O433" s="41" t="inlineStr">
        <is>
          <t>Any</t>
        </is>
      </c>
      <c r="P433" s="42" t="inlineStr">
        <is>
          <t>Spare Rabbit &amp; Hare: the first world already has 5 (a later world can use it)</t>
        </is>
      </c>
      <c r="Q433" s="41" t="inlineStr">
        <is>
          <t>Spare</t>
        </is>
      </c>
    </row>
    <row r="434" ht="23.25" customHeight="1" s="39">
      <c r="A434" s="41" t="inlineStr">
        <is>
          <t>Spare animals (not placed yet)</t>
        </is>
      </c>
      <c r="B434" s="41" t="n"/>
      <c r="C434" s="41" t="inlineStr">
        <is>
          <t>Moonlit Hare</t>
        </is>
      </c>
      <c r="D434" s="41" t="inlineStr">
        <is>
          <t>moonlit-hare</t>
        </is>
      </c>
      <c r="E434" s="41" t="n"/>
      <c r="F434" s="41" t="inlineStr">
        <is>
          <t>Uncommon</t>
        </is>
      </c>
      <c r="G434" s="41" t="n">
        <v>0</v>
      </c>
      <c r="H434" s="41" t="n">
        <v>1</v>
      </c>
      <c r="I434" s="41" t="n">
        <v>1</v>
      </c>
      <c r="J434" s="41" t="n">
        <v>8</v>
      </c>
      <c r="K434" s="42" t="inlineStr">
        <is>
          <t>Moonborn 2</t>
        </is>
      </c>
      <c r="L434" s="41" t="n"/>
      <c r="M434" s="41" t="inlineStr">
        <is>
          <t>Lagomorph (Beast)</t>
        </is>
      </c>
      <c r="N434" s="41" t="inlineStr">
        <is>
          <t>Rabbit &amp; Hare</t>
        </is>
      </c>
      <c r="O434" s="41" t="inlineStr">
        <is>
          <t>Any</t>
        </is>
      </c>
      <c r="P434" s="42" t="inlineStr">
        <is>
          <t>Spare Rabbit &amp; Hare: the first world already has 5 (a later world can use it)</t>
        </is>
      </c>
      <c r="Q434" s="41" t="inlineStr">
        <is>
          <t>Spare</t>
        </is>
      </c>
    </row>
    <row r="435" ht="23.25" customHeight="1" s="39">
      <c r="A435" s="41" t="inlineStr">
        <is>
          <t>Spare animals (not placed yet)</t>
        </is>
      </c>
      <c r="B435" s="41" t="n"/>
      <c r="C435" s="41" t="inlineStr">
        <is>
          <t>Rabbit Kit</t>
        </is>
      </c>
      <c r="D435" s="41" t="inlineStr">
        <is>
          <t>rabbit-kit</t>
        </is>
      </c>
      <c r="E435" s="41" t="n"/>
      <c r="F435" s="41" t="inlineStr">
        <is>
          <t>Common</t>
        </is>
      </c>
      <c r="G435" s="41" t="n">
        <v>0</v>
      </c>
      <c r="H435" s="41" t="n">
        <v>0</v>
      </c>
      <c r="I435" s="41" t="n">
        <v>3</v>
      </c>
      <c r="J435" s="41" t="n">
        <v>2</v>
      </c>
      <c r="K435" s="42" t="inlineStr">
        <is>
          <t>Quick</t>
        </is>
      </c>
      <c r="L435" s="41" t="n"/>
      <c r="M435" s="41" t="inlineStr">
        <is>
          <t>Lagomorph (Beast)</t>
        </is>
      </c>
      <c r="N435" s="41" t="inlineStr">
        <is>
          <t>Rabbit &amp; Hare</t>
        </is>
      </c>
      <c r="O435" s="41" t="inlineStr">
        <is>
          <t>Any</t>
        </is>
      </c>
      <c r="P435" s="42" t="inlineStr">
        <is>
          <t>Spare Rabbit &amp; Hare: the first world already has 5 (a later world can use it)</t>
        </is>
      </c>
      <c r="Q435" s="41" t="inlineStr">
        <is>
          <t>Spare</t>
        </is>
      </c>
    </row>
    <row r="436" ht="23.25" customHeight="1" s="39">
      <c r="A436" s="41" t="inlineStr">
        <is>
          <t>Spare animals (not placed yet)</t>
        </is>
      </c>
      <c r="B436" s="41" t="n"/>
      <c r="C436" s="41" t="inlineStr">
        <is>
          <t>Warren Scout</t>
        </is>
      </c>
      <c r="D436" s="41" t="inlineStr">
        <is>
          <t>warren-scout</t>
        </is>
      </c>
      <c r="E436" s="41" t="n"/>
      <c r="F436" s="41" t="inlineStr">
        <is>
          <t>Rare</t>
        </is>
      </c>
      <c r="G436" s="41" t="n">
        <v>0</v>
      </c>
      <c r="H436" s="41" t="n">
        <v>0</v>
      </c>
      <c r="I436" s="41" t="n">
        <v>3</v>
      </c>
      <c r="J436" s="41" t="n">
        <v>4</v>
      </c>
      <c r="K436" s="42" t="inlineStr">
        <is>
          <t>Keen Eye</t>
        </is>
      </c>
      <c r="L436" s="41" t="n"/>
      <c r="M436" s="41" t="inlineStr">
        <is>
          <t>Lagomorph (Beast)</t>
        </is>
      </c>
      <c r="N436" s="41" t="inlineStr">
        <is>
          <t>Rabbit &amp; Hare</t>
        </is>
      </c>
      <c r="O436" s="41" t="inlineStr">
        <is>
          <t>Any</t>
        </is>
      </c>
      <c r="P436" s="42" t="inlineStr">
        <is>
          <t>Spare Rabbit &amp; Hare: the first world already has 5 (a later world can use it)</t>
        </is>
      </c>
      <c r="Q436" s="41" t="inlineStr">
        <is>
          <t>Spare</t>
        </is>
      </c>
    </row>
    <row r="437" ht="23.25" customHeight="1" s="39">
      <c r="A437" s="41" t="inlineStr">
        <is>
          <t>Spare animals (not placed yet)</t>
        </is>
      </c>
      <c r="B437" s="41" t="n"/>
      <c r="C437" s="41" t="inlineStr">
        <is>
          <t>Raccoon Warlord</t>
        </is>
      </c>
      <c r="D437" s="41" t="inlineStr">
        <is>
          <t>raccoon-warlord</t>
        </is>
      </c>
      <c r="E437" s="41" t="n"/>
      <c r="F437" s="41" t="inlineStr">
        <is>
          <t>Common</t>
        </is>
      </c>
      <c r="G437" s="41" t="n">
        <v>2</v>
      </c>
      <c r="H437" s="41" t="n">
        <v>3</v>
      </c>
      <c r="I437" s="41" t="n">
        <v>7</v>
      </c>
      <c r="J437" s="41" t="n">
        <v>32</v>
      </c>
      <c r="K437" s="42" t="inlineStr">
        <is>
          <t>Bounty 1, Nocturnal</t>
        </is>
      </c>
      <c r="L437" s="41" t="n"/>
      <c r="M437" s="41" t="inlineStr">
        <is>
          <t>Procyonid (Beast)</t>
        </is>
      </c>
      <c r="N437" s="41" t="inlineStr">
        <is>
          <t>Raccoon</t>
        </is>
      </c>
      <c r="O437" s="41" t="inlineStr">
        <is>
          <t>Any</t>
        </is>
      </c>
      <c r="P437" s="42" t="inlineStr">
        <is>
          <t>Spare Raccoon: the first world already has 3 (a later world can use it)</t>
        </is>
      </c>
      <c r="Q437" s="41" t="inlineStr">
        <is>
          <t>Spare</t>
        </is>
      </c>
    </row>
    <row r="438" ht="23.25" customHeight="1" s="39">
      <c r="A438" s="41" t="inlineStr">
        <is>
          <t>Spare animals (not placed yet)</t>
        </is>
      </c>
      <c r="B438" s="41" t="n"/>
      <c r="C438" s="41" t="inlineStr">
        <is>
          <t>Reef Manta Glider</t>
        </is>
      </c>
      <c r="D438" s="41" t="inlineStr">
        <is>
          <t>reef-manta-glider</t>
        </is>
      </c>
      <c r="E438" s="41" t="n"/>
      <c r="F438" s="41" t="inlineStr">
        <is>
          <t>Common</t>
        </is>
      </c>
      <c r="G438" s="41" t="n">
        <v>2</v>
      </c>
      <c r="H438" s="41" t="n">
        <v>1</v>
      </c>
      <c r="I438" s="41" t="n">
        <v>5</v>
      </c>
      <c r="J438" s="41" t="n">
        <v>16</v>
      </c>
      <c r="K438" s="42" t="inlineStr">
        <is>
          <t>Evasive, Tide, Swimmer</t>
        </is>
      </c>
      <c r="L438" s="41" t="n"/>
      <c r="M438" s="41" t="inlineStr">
        <is>
          <t>Fish (Aquatic)</t>
        </is>
      </c>
      <c r="N438" s="41" t="inlineStr">
        <is>
          <t>Shark &amp; Ray</t>
        </is>
      </c>
      <c r="O438" s="41" t="inlineStr">
        <is>
          <t>Ocean</t>
        </is>
      </c>
      <c r="P438" s="42" t="inlineStr">
        <is>
          <t>Spare Shark &amp; Ray: the first world already has 3 (a later world can use it)</t>
        </is>
      </c>
      <c r="Q438" s="41" t="inlineStr">
        <is>
          <t>Spare</t>
        </is>
      </c>
    </row>
    <row r="439" ht="23.25" customHeight="1" s="39">
      <c r="A439" s="41" t="inlineStr">
        <is>
          <t>Spare animals (not placed yet)</t>
        </is>
      </c>
      <c r="B439" s="41" t="n"/>
      <c r="C439" s="41" t="inlineStr">
        <is>
          <t>Ancient Sloth Titan</t>
        </is>
      </c>
      <c r="D439" s="41" t="inlineStr">
        <is>
          <t>ancient-sloth-titan</t>
        </is>
      </c>
      <c r="E439" s="41" t="n"/>
      <c r="F439" s="41" t="inlineStr">
        <is>
          <t>Common</t>
        </is>
      </c>
      <c r="G439" s="41" t="n">
        <v>3</v>
      </c>
      <c r="H439" s="41" t="n">
        <v>6</v>
      </c>
      <c r="I439" s="41" t="n">
        <v>6</v>
      </c>
      <c r="J439" s="41" t="n">
        <v>58</v>
      </c>
      <c r="K439" s="42" t="inlineStr">
        <is>
          <t>Bounty 1, Bulwark 2</t>
        </is>
      </c>
      <c r="L439" s="41" t="n"/>
      <c r="M439" s="41" t="inlineStr">
        <is>
          <t>Xenarthran (Beast)</t>
        </is>
      </c>
      <c r="N439" s="41" t="inlineStr">
        <is>
          <t>Sloth &amp; Armadillo</t>
        </is>
      </c>
      <c r="O439" s="41" t="inlineStr">
        <is>
          <t>Any</t>
        </is>
      </c>
      <c r="P439" s="42" t="inlineStr">
        <is>
          <t>Spare Sloth &amp; Armadillo: the first world already has 3 (a later world can use it)</t>
        </is>
      </c>
      <c r="Q439" s="41" t="inlineStr">
        <is>
          <t>Spare</t>
        </is>
      </c>
    </row>
    <row r="440" ht="23.25" customHeight="1" s="39">
      <c r="A440" s="41" t="inlineStr">
        <is>
          <t>Spare animals (not placed yet)</t>
        </is>
      </c>
      <c r="B440" s="41" t="n"/>
      <c r="C440" s="41" t="inlineStr">
        <is>
          <t>Grass Viper</t>
        </is>
      </c>
      <c r="D440" s="41" t="inlineStr">
        <is>
          <t>grass-viper</t>
        </is>
      </c>
      <c r="E440" s="41" t="n"/>
      <c r="F440" s="41" t="inlineStr">
        <is>
          <t>Rare</t>
        </is>
      </c>
      <c r="G440" s="41" t="n">
        <v>0</v>
      </c>
      <c r="H440" s="41" t="n">
        <v>0</v>
      </c>
      <c r="I440" s="41" t="n">
        <v>2</v>
      </c>
      <c r="J440" s="41" t="n">
        <v>5</v>
      </c>
      <c r="K440" s="42" t="inlineStr">
        <is>
          <t>Poison 1, shedding 3</t>
        </is>
      </c>
      <c r="L440" s="41" t="n"/>
      <c r="M440" s="41" t="inlineStr">
        <is>
          <t>Reptile (Scaled)</t>
        </is>
      </c>
      <c r="N440" s="41" t="inlineStr">
        <is>
          <t>Snake</t>
        </is>
      </c>
      <c r="O440" s="41" t="inlineStr">
        <is>
          <t>Any</t>
        </is>
      </c>
      <c r="P440" s="42" t="inlineStr">
        <is>
          <t>Spare Snake: the first world already has 3 (a later world can use it)</t>
        </is>
      </c>
      <c r="Q440" s="41" t="inlineStr">
        <is>
          <t>Spare</t>
        </is>
      </c>
    </row>
    <row r="441" ht="23.25" customHeight="1" s="39">
      <c r="A441" s="41" t="inlineStr">
        <is>
          <t>Spare animals (not placed yet)</t>
        </is>
      </c>
      <c r="B441" s="41" t="n"/>
      <c r="C441" s="41" t="inlineStr">
        <is>
          <t>Sand Widow</t>
        </is>
      </c>
      <c r="D441" s="41" t="inlineStr">
        <is>
          <t>sand-widow</t>
        </is>
      </c>
      <c r="E441" s="41" t="n"/>
      <c r="F441" s="41" t="inlineStr">
        <is>
          <t>Common</t>
        </is>
      </c>
      <c r="G441" s="41" t="n">
        <v>2</v>
      </c>
      <c r="H441" s="41" t="n">
        <v>2</v>
      </c>
      <c r="I441" s="41" t="n">
        <v>6</v>
      </c>
      <c r="J441" s="41" t="n">
        <v>22</v>
      </c>
      <c r="K441" s="42" t="inlineStr">
        <is>
          <t>Poison 2, Bounty 1, Dry</t>
        </is>
      </c>
      <c r="L441" s="41" t="n"/>
      <c r="M441" s="41" t="inlineStr">
        <is>
          <t>Arachnid (Arthropod)</t>
        </is>
      </c>
      <c r="N441" s="41" t="inlineStr">
        <is>
          <t>Spider &amp; Scorpion</t>
        </is>
      </c>
      <c r="O441" s="41" t="inlineStr">
        <is>
          <t>Desert</t>
        </is>
      </c>
      <c r="P441" s="42" t="inlineStr">
        <is>
          <t>Spare Spider &amp; Scorpion: the first world already has 4 (a later world can use it)</t>
        </is>
      </c>
      <c r="Q441" s="41" t="inlineStr">
        <is>
          <t>Spare</t>
        </is>
      </c>
    </row>
    <row r="442" ht="23.25" customHeight="1" s="39">
      <c r="A442" s="41" t="inlineStr">
        <is>
          <t>Spare animals (not placed yet)</t>
        </is>
      </c>
      <c r="B442" s="41" t="n"/>
      <c r="C442" s="41" t="inlineStr">
        <is>
          <t>Webspire Sentinel</t>
        </is>
      </c>
      <c r="D442" s="41" t="inlineStr">
        <is>
          <t>webspire-sentinel</t>
        </is>
      </c>
      <c r="E442" s="41" t="n"/>
      <c r="F442" s="41" t="inlineStr">
        <is>
          <t>Common</t>
        </is>
      </c>
      <c r="G442" s="41" t="n">
        <v>2</v>
      </c>
      <c r="H442" s="41" t="n">
        <v>3</v>
      </c>
      <c r="I442" s="41" t="n">
        <v>5</v>
      </c>
      <c r="J442" s="41" t="n">
        <v>26</v>
      </c>
      <c r="K442" s="42" t="inlineStr">
        <is>
          <t>Cleave 1, Bounty 1</t>
        </is>
      </c>
      <c r="L442" s="41" t="n"/>
      <c r="M442" s="41" t="inlineStr">
        <is>
          <t>Arachnid (Arthropod)</t>
        </is>
      </c>
      <c r="N442" s="41" t="inlineStr">
        <is>
          <t>Spider &amp; Scorpion</t>
        </is>
      </c>
      <c r="O442" s="41" t="inlineStr">
        <is>
          <t>Any</t>
        </is>
      </c>
      <c r="P442" s="42" t="inlineStr">
        <is>
          <t>Spare Spider &amp; Scorpion: the first world already has 4 (a later world can use it)</t>
        </is>
      </c>
      <c r="Q442" s="41" t="inlineStr">
        <is>
          <t>Spare</t>
        </is>
      </c>
    </row>
    <row r="443" ht="23.25" customHeight="1" s="39">
      <c r="A443" s="41" t="inlineStr">
        <is>
          <t>Spare animals (not placed yet)</t>
        </is>
      </c>
      <c r="B443" s="41" t="n"/>
      <c r="C443" s="41" t="inlineStr">
        <is>
          <t>Ravenous Wolverine</t>
        </is>
      </c>
      <c r="D443" s="41" t="inlineStr">
        <is>
          <t>ravenous-wolverine</t>
        </is>
      </c>
      <c r="E443" s="41" t="n"/>
      <c r="F443" s="41" t="inlineStr">
        <is>
          <t>Rare</t>
        </is>
      </c>
      <c r="G443" s="41" t="n">
        <v>1</v>
      </c>
      <c r="H443" s="41" t="n">
        <v>0</v>
      </c>
      <c r="I443" s="41" t="n">
        <v>2</v>
      </c>
      <c r="J443" s="41" t="n">
        <v>12</v>
      </c>
      <c r="K443" s="42" t="inlineStr">
        <is>
          <t>Build-up 2</t>
        </is>
      </c>
      <c r="L443" s="41" t="n"/>
      <c r="M443" s="41" t="inlineStr">
        <is>
          <t>Mustelid (Beast)</t>
        </is>
      </c>
      <c r="N443" s="41" t="inlineStr">
        <is>
          <t>Stoat &amp; Weasel</t>
        </is>
      </c>
      <c r="O443" s="41" t="inlineStr">
        <is>
          <t>Ice</t>
        </is>
      </c>
      <c r="P443" s="42" t="inlineStr">
        <is>
          <t>Spare Stoat &amp; Weasel: the first world already has 3 (a later world can use it)</t>
        </is>
      </c>
      <c r="Q443" s="41" t="inlineStr">
        <is>
          <t>Spare</t>
        </is>
      </c>
    </row>
    <row r="444" ht="23.25" customHeight="1" s="39">
      <c r="A444" s="41" t="inlineStr">
        <is>
          <t>Spare animals (not placed yet)</t>
        </is>
      </c>
      <c r="B444" s="41" t="n"/>
      <c r="C444" s="41" t="inlineStr">
        <is>
          <t>Stoat Cutthroat</t>
        </is>
      </c>
      <c r="D444" s="41" t="inlineStr">
        <is>
          <t>stoat-cutthroat</t>
        </is>
      </c>
      <c r="E444" s="41" t="n"/>
      <c r="F444" s="41" t="inlineStr">
        <is>
          <t>Rare</t>
        </is>
      </c>
      <c r="G444" s="41" t="n">
        <v>1</v>
      </c>
      <c r="H444" s="41" t="n">
        <v>1</v>
      </c>
      <c r="I444" s="41" t="n">
        <v>3</v>
      </c>
      <c r="J444" s="41" t="n">
        <v>9</v>
      </c>
      <c r="K444" s="42" t="inlineStr">
        <is>
          <t>Backstab 3</t>
        </is>
      </c>
      <c r="L444" s="41" t="n"/>
      <c r="M444" s="41" t="inlineStr">
        <is>
          <t>Mustelid (Beast)</t>
        </is>
      </c>
      <c r="N444" s="41" t="inlineStr">
        <is>
          <t>Stoat &amp; Weasel</t>
        </is>
      </c>
      <c r="O444" s="41" t="inlineStr">
        <is>
          <t>Village and farm</t>
        </is>
      </c>
      <c r="P444" s="42" t="inlineStr">
        <is>
          <t>Spare Stoat &amp; Weasel: the first world already has 3 (a later world can use it)</t>
        </is>
      </c>
      <c r="Q444" s="41" t="inlineStr">
        <is>
          <t>Spare</t>
        </is>
      </c>
    </row>
    <row r="445" ht="23.25" customHeight="1" s="39">
      <c r="A445" s="41" t="inlineStr">
        <is>
          <t>Spare animals (not placed yet)</t>
        </is>
      </c>
      <c r="B445" s="41" t="n"/>
      <c r="C445" s="41" t="inlineStr">
        <is>
          <t>Old-Growth Tortoise</t>
        </is>
      </c>
      <c r="D445" s="41" t="inlineStr">
        <is>
          <t>old-growth-tortoise</t>
        </is>
      </c>
      <c r="E445" s="41" t="n"/>
      <c r="F445" s="41" t="inlineStr">
        <is>
          <t>Common</t>
        </is>
      </c>
      <c r="G445" s="41" t="n">
        <v>2</v>
      </c>
      <c r="H445" s="41" t="n">
        <v>2</v>
      </c>
      <c r="I445" s="41" t="n">
        <v>3</v>
      </c>
      <c r="J445" s="41" t="n">
        <v>20</v>
      </c>
      <c r="K445" s="42" t="inlineStr">
        <is>
          <t>Grow 2, Swimmer</t>
        </is>
      </c>
      <c r="L445" s="41" t="n"/>
      <c r="M445" s="41" t="inlineStr">
        <is>
          <t>Reptile (Scaled)</t>
        </is>
      </c>
      <c r="N445" s="41" t="inlineStr">
        <is>
          <t>Turtle</t>
        </is>
      </c>
      <c r="O445" s="41" t="inlineStr">
        <is>
          <t>Rainforest</t>
        </is>
      </c>
      <c r="P445" s="42" t="inlineStr">
        <is>
          <t>Spare Turtle: the first world already has 5 (a later world can use it)</t>
        </is>
      </c>
      <c r="Q445" s="41" t="inlineStr">
        <is>
          <t>Spare</t>
        </is>
      </c>
    </row>
    <row r="446" ht="23.25" customHeight="1" s="39">
      <c r="A446" s="41" t="inlineStr">
        <is>
          <t>Spare animals (not placed yet)</t>
        </is>
      </c>
      <c r="B446" s="41" t="n"/>
      <c r="C446" s="41" t="inlineStr">
        <is>
          <t>Turtle Bastion</t>
        </is>
      </c>
      <c r="D446" s="41" t="inlineStr">
        <is>
          <t>turtle-bastion</t>
        </is>
      </c>
      <c r="E446" s="41" t="n"/>
      <c r="F446" s="41" t="inlineStr">
        <is>
          <t>Common</t>
        </is>
      </c>
      <c r="G446" s="41" t="n">
        <v>2</v>
      </c>
      <c r="H446" s="41" t="n">
        <v>3</v>
      </c>
      <c r="I446" s="41" t="n">
        <v>4</v>
      </c>
      <c r="J446" s="41" t="n">
        <v>36</v>
      </c>
      <c r="K446" s="42" t="inlineStr">
        <is>
          <t>Bounty 1, Swimmer</t>
        </is>
      </c>
      <c r="L446" s="41" t="n"/>
      <c r="M446" s="41" t="inlineStr">
        <is>
          <t>Reptile (Scaled)</t>
        </is>
      </c>
      <c r="N446" s="41" t="inlineStr">
        <is>
          <t>Turtle</t>
        </is>
      </c>
      <c r="O446" s="41" t="inlineStr">
        <is>
          <t>Any</t>
        </is>
      </c>
      <c r="P446" s="42" t="inlineStr">
        <is>
          <t>Spare Turtle: the first world already has 5 (a later world can use it)</t>
        </is>
      </c>
      <c r="Q446" s="41" t="inlineStr">
        <is>
          <t>Spare</t>
        </is>
      </c>
    </row>
    <row r="447" ht="23.25" customHeight="1" s="39">
      <c r="A447" s="41" t="inlineStr">
        <is>
          <t>Spare animals (not placed yet)</t>
        </is>
      </c>
      <c r="B447" s="41" t="n"/>
      <c r="C447" s="41" t="inlineStr">
        <is>
          <t>Mangrove Kingfisher</t>
        </is>
      </c>
      <c r="D447" s="41" t="inlineStr">
        <is>
          <t>mangrove-kingfisher</t>
        </is>
      </c>
      <c r="E447" s="41" t="n"/>
      <c r="F447" s="41" t="inlineStr">
        <is>
          <t>Rare</t>
        </is>
      </c>
      <c r="G447" s="41" t="n">
        <v>1</v>
      </c>
      <c r="H447" s="41" t="n">
        <v>0</v>
      </c>
      <c r="I447" s="41" t="n">
        <v>3</v>
      </c>
      <c r="J447" s="41" t="n">
        <v>4</v>
      </c>
      <c r="K447" s="42" t="inlineStr">
        <is>
          <t>Evasive, Flying</t>
        </is>
      </c>
      <c r="L447" s="41" t="n"/>
      <c r="M447" s="41" t="inlineStr">
        <is>
          <t>Bird</t>
        </is>
      </c>
      <c r="N447" s="41" t="inlineStr">
        <is>
          <t>Waterbird</t>
        </is>
      </c>
      <c r="O447" s="41" t="inlineStr">
        <is>
          <t>Mangrove</t>
        </is>
      </c>
      <c r="P447" s="42" t="inlineStr">
        <is>
          <t>Spare Waterbird: the first world already has 5 (a later world can use it)</t>
        </is>
      </c>
      <c r="Q447" s="41" t="inlineStr">
        <is>
          <t>Spare</t>
        </is>
      </c>
    </row>
    <row r="448" ht="23.25" customHeight="1" s="39">
      <c r="A448" s="41" t="inlineStr">
        <is>
          <t>Spare animals (not placed yet)</t>
        </is>
      </c>
      <c r="B448" s="41" t="n"/>
      <c r="C448" s="41" t="inlineStr">
        <is>
          <t>Mire Witch-Heron</t>
        </is>
      </c>
      <c r="D448" s="41" t="inlineStr">
        <is>
          <t>mire-witch-heron</t>
        </is>
      </c>
      <c r="E448" s="41" t="n"/>
      <c r="F448" s="41" t="inlineStr">
        <is>
          <t>Common</t>
        </is>
      </c>
      <c r="G448" s="41" t="n">
        <v>1</v>
      </c>
      <c r="H448" s="41" t="n">
        <v>1</v>
      </c>
      <c r="I448" s="41" t="n">
        <v>2</v>
      </c>
      <c r="J448" s="41" t="n">
        <v>8</v>
      </c>
      <c r="K448" s="42" t="inlineStr">
        <is>
          <t>Render 2, Flying</t>
        </is>
      </c>
      <c r="L448" s="41" t="n"/>
      <c r="M448" s="41" t="inlineStr">
        <is>
          <t>Bird</t>
        </is>
      </c>
      <c r="N448" s="41" t="inlineStr">
        <is>
          <t>Waterbird</t>
        </is>
      </c>
      <c r="O448" s="41" t="inlineStr">
        <is>
          <t>Swamp</t>
        </is>
      </c>
      <c r="P448" s="42" t="inlineStr">
        <is>
          <t>Spare Waterbird: the first world already has 5 (a later world can use it)</t>
        </is>
      </c>
      <c r="Q448" s="41" t="inlineStr">
        <is>
          <t>Spare</t>
        </is>
      </c>
    </row>
    <row r="449" ht="23.25" customHeight="1" s="39">
      <c r="A449" s="41" t="inlineStr">
        <is>
          <t>Spare animals (not placed yet)</t>
        </is>
      </c>
      <c r="B449" s="41" t="n"/>
      <c r="C449" s="41" t="inlineStr">
        <is>
          <t>Pelican Diver</t>
        </is>
      </c>
      <c r="D449" s="41" t="inlineStr">
        <is>
          <t>pelican-diver</t>
        </is>
      </c>
      <c r="E449" s="41" t="n"/>
      <c r="F449" s="41" t="inlineStr">
        <is>
          <t>Rare</t>
        </is>
      </c>
      <c r="G449" s="41" t="n">
        <v>1</v>
      </c>
      <c r="H449" s="41" t="n">
        <v>1</v>
      </c>
      <c r="I449" s="41" t="n">
        <v>3</v>
      </c>
      <c r="J449" s="41" t="n">
        <v>9</v>
      </c>
      <c r="K449" s="42" t="inlineStr">
        <is>
          <t>Ready Strike 2, Flying</t>
        </is>
      </c>
      <c r="L449" s="41" t="n"/>
      <c r="M449" s="41" t="inlineStr">
        <is>
          <t>Bird</t>
        </is>
      </c>
      <c r="N449" s="41" t="inlineStr">
        <is>
          <t>Waterbird</t>
        </is>
      </c>
      <c r="O449" s="41" t="inlineStr">
        <is>
          <t>Coast</t>
        </is>
      </c>
      <c r="P449" s="42" t="inlineStr">
        <is>
          <t>Spare Waterbird: the first world already has 5 (a later world can use it)</t>
        </is>
      </c>
      <c r="Q449" s="41" t="inlineStr">
        <is>
          <t>Spare</t>
        </is>
      </c>
    </row>
    <row r="450" ht="23.25" customHeight="1" s="39">
      <c r="A450" s="41" t="inlineStr">
        <is>
          <t>Spare animals (not placed yet)</t>
        </is>
      </c>
      <c r="B450" s="41" t="n"/>
      <c r="C450" s="41" t="inlineStr">
        <is>
          <t>Humpback Elder</t>
        </is>
      </c>
      <c r="D450" s="41" t="inlineStr">
        <is>
          <t>humpback-elder</t>
        </is>
      </c>
      <c r="E450" s="41" t="n"/>
      <c r="F450" s="41" t="inlineStr">
        <is>
          <t>Common</t>
        </is>
      </c>
      <c r="G450" s="41" t="n">
        <v>3</v>
      </c>
      <c r="H450" s="41" t="n">
        <v>3</v>
      </c>
      <c r="I450" s="41" t="n">
        <v>8</v>
      </c>
      <c r="J450" s="41" t="n">
        <v>40</v>
      </c>
      <c r="K450" s="42" t="inlineStr">
        <is>
          <t>Thorns 3, Inspiring 2, Swimmer</t>
        </is>
      </c>
      <c r="L450" s="41" t="n"/>
      <c r="M450" s="41" t="inlineStr">
        <is>
          <t>Cetacean (Beast)</t>
        </is>
      </c>
      <c r="N450" s="41" t="inlineStr">
        <is>
          <t>Whale &amp; Seal</t>
        </is>
      </c>
      <c r="O450" s="41" t="inlineStr">
        <is>
          <t>Any</t>
        </is>
      </c>
      <c r="P450" s="42" t="inlineStr">
        <is>
          <t>Spare Whale &amp; Seal: the first world already has 3 (a later world can use it)</t>
        </is>
      </c>
      <c r="Q450" s="41" t="inlineStr">
        <is>
          <t>Spare</t>
        </is>
      </c>
    </row>
    <row r="451" ht="23.25" customHeight="1" s="39">
      <c r="A451" s="41" t="inlineStr">
        <is>
          <t>Spare animals (not placed yet)</t>
        </is>
      </c>
      <c r="B451" s="41" t="n"/>
      <c r="C451" s="41" t="inlineStr">
        <is>
          <t>Narwhal Lancer</t>
        </is>
      </c>
      <c r="D451" s="41" t="inlineStr">
        <is>
          <t>narwhal-lancer</t>
        </is>
      </c>
      <c r="E451" s="41" t="n"/>
      <c r="F451" s="41" t="inlineStr">
        <is>
          <t>Common</t>
        </is>
      </c>
      <c r="G451" s="41" t="n">
        <v>2</v>
      </c>
      <c r="H451" s="41" t="n">
        <v>1</v>
      </c>
      <c r="I451" s="41" t="n">
        <v>7</v>
      </c>
      <c r="J451" s="41" t="n">
        <v>20</v>
      </c>
      <c r="K451" s="42" t="inlineStr">
        <is>
          <t>Expose 2, Swimmer</t>
        </is>
      </c>
      <c r="L451" s="41" t="n"/>
      <c r="M451" s="41" t="inlineStr">
        <is>
          <t>Cetacean (Beast)</t>
        </is>
      </c>
      <c r="N451" s="41" t="inlineStr">
        <is>
          <t>Whale &amp; Seal</t>
        </is>
      </c>
      <c r="O451" s="41" t="inlineStr">
        <is>
          <t>Any</t>
        </is>
      </c>
      <c r="P451" s="42" t="inlineStr">
        <is>
          <t>Spare Whale &amp; Seal: the first world already has 3 (a later world can use it)</t>
        </is>
      </c>
      <c r="Q451" s="41" t="inlineStr">
        <is>
          <t>Spare</t>
        </is>
      </c>
    </row>
    <row r="452" ht="23.25" customHeight="1" s="39">
      <c r="A452" s="41" t="inlineStr">
        <is>
          <t>Spare animals (not placed yet)</t>
        </is>
      </c>
      <c r="B452" s="41" t="n"/>
      <c r="C452" s="41" t="inlineStr">
        <is>
          <t>Alpha Howler</t>
        </is>
      </c>
      <c r="D452" s="41" t="inlineStr">
        <is>
          <t>alpha-howler</t>
        </is>
      </c>
      <c r="E452" s="41" t="n"/>
      <c r="F452" s="41" t="inlineStr">
        <is>
          <t>Common</t>
        </is>
      </c>
      <c r="G452" s="41" t="n">
        <v>2</v>
      </c>
      <c r="H452" s="41" t="n">
        <v>3</v>
      </c>
      <c r="I452" s="41" t="n">
        <v>7</v>
      </c>
      <c r="J452" s="41" t="n">
        <v>24</v>
      </c>
      <c r="K452" s="42" t="inlineStr">
        <is>
          <t>Cleave 1, Bounty 1, Nocturnal</t>
        </is>
      </c>
      <c r="L452" s="41" t="n"/>
      <c r="M452" s="41" t="inlineStr">
        <is>
          <t>Canid (Beast)</t>
        </is>
      </c>
      <c r="N452" s="41" t="inlineStr">
        <is>
          <t>Wolf</t>
        </is>
      </c>
      <c r="O452" s="41" t="inlineStr">
        <is>
          <t>Any</t>
        </is>
      </c>
      <c r="P452" s="42" t="inlineStr">
        <is>
          <t>Spare Wolf: the first world already has 6 (a later world can use it)</t>
        </is>
      </c>
      <c r="Q452" s="41" t="inlineStr">
        <is>
          <t>Spare</t>
        </is>
      </c>
    </row>
    <row r="453" ht="23.25" customHeight="1" s="39">
      <c r="A453" s="41" t="inlineStr">
        <is>
          <t>Spare animals (not placed yet)</t>
        </is>
      </c>
      <c r="B453" s="41" t="n"/>
      <c r="C453" s="41" t="inlineStr">
        <is>
          <t>Pack Wolf Reaver</t>
        </is>
      </c>
      <c r="D453" s="41" t="inlineStr">
        <is>
          <t>pack-wolf-reaver</t>
        </is>
      </c>
      <c r="E453" s="41" t="n"/>
      <c r="F453" s="41" t="inlineStr">
        <is>
          <t>Common</t>
        </is>
      </c>
      <c r="G453" s="41" t="n">
        <v>2</v>
      </c>
      <c r="H453" s="41" t="n">
        <v>2</v>
      </c>
      <c r="I453" s="41" t="n">
        <v>5</v>
      </c>
      <c r="J453" s="41" t="n">
        <v>22</v>
      </c>
      <c r="K453" s="42" t="inlineStr">
        <is>
          <t>Fork</t>
        </is>
      </c>
      <c r="L453" s="41" t="n"/>
      <c r="M453" s="41" t="inlineStr">
        <is>
          <t>Canid (Beast)</t>
        </is>
      </c>
      <c r="N453" s="41" t="inlineStr">
        <is>
          <t>Wolf</t>
        </is>
      </c>
      <c r="O453" s="41" t="inlineStr">
        <is>
          <t>Any</t>
        </is>
      </c>
      <c r="P453" s="42" t="inlineStr">
        <is>
          <t>Spare Wolf: the first world already has 6 (a later world can use it)</t>
        </is>
      </c>
      <c r="Q453" s="41" t="inlineStr">
        <is>
          <t>Spare</t>
        </is>
      </c>
    </row>
    <row r="454" ht="23.25" customHeight="1" s="39">
      <c r="A454" s="41" t="inlineStr">
        <is>
          <t>Spare animals (not placed yet)</t>
        </is>
      </c>
      <c r="B454" s="41" t="n"/>
      <c r="C454" s="41" t="inlineStr">
        <is>
          <t>Wolf Pack Runner</t>
        </is>
      </c>
      <c r="D454" s="41" t="inlineStr">
        <is>
          <t>wolf-pack-runner</t>
        </is>
      </c>
      <c r="E454" s="41" t="n"/>
      <c r="F454" s="41" t="inlineStr">
        <is>
          <t>Rare</t>
        </is>
      </c>
      <c r="G454" s="41" t="n">
        <v>1</v>
      </c>
      <c r="H454" s="41" t="n">
        <v>1</v>
      </c>
      <c r="I454" s="41" t="n">
        <v>4</v>
      </c>
      <c r="J454" s="41" t="n">
        <v>11</v>
      </c>
      <c r="K454" s="42" t="inlineStr">
        <is>
          <t>Bounty 1</t>
        </is>
      </c>
      <c r="L454" s="41" t="n"/>
      <c r="M454" s="41" t="inlineStr">
        <is>
          <t>Canid (Beast)</t>
        </is>
      </c>
      <c r="N454" s="41" t="inlineStr">
        <is>
          <t>Wolf</t>
        </is>
      </c>
      <c r="O454" s="41" t="inlineStr">
        <is>
          <t>Any</t>
        </is>
      </c>
      <c r="P454" s="42" t="inlineStr">
        <is>
          <t>Spare Wolf: the first world already has 6 (a later world can use it)</t>
        </is>
      </c>
      <c r="Q454" s="41" t="inlineStr">
        <is>
          <t>Spare</t>
        </is>
      </c>
    </row>
    <row r="455" ht="15" customHeight="1" s="39">
      <c r="A455" s="44" t="inlineStr">
        <is>
          <t>Retired / not planned</t>
        </is>
      </c>
      <c r="B455" s="44" t="n"/>
      <c r="C455" s="44" t="inlineStr">
        <is>
          <t>Bark Buckler</t>
        </is>
      </c>
      <c r="D455" s="44" t="inlineStr">
        <is>
          <t>bark-buckler</t>
        </is>
      </c>
      <c r="E455" s="44" t="n"/>
      <c r="F455" s="44" t="inlineStr">
        <is>
          <t>Common</t>
        </is>
      </c>
      <c r="G455" s="44" t="n">
        <v>0</v>
      </c>
      <c r="H455" s="44" t="n">
        <v>0</v>
      </c>
      <c r="I455" s="44" t="n">
        <v>0</v>
      </c>
      <c r="J455" s="44" t="n">
        <v>5</v>
      </c>
      <c r="K455" s="45" t="inlineStr">
        <is>
          <t>—</t>
        </is>
      </c>
      <c r="L455" s="44" t="n"/>
      <c r="M455" s="44" t="inlineStr">
        <is>
          <t>—</t>
        </is>
      </c>
      <c r="N455" s="44" t="inlineStr">
        <is>
          <t>Dog</t>
        </is>
      </c>
      <c r="O455" s="44" t="inlineStr">
        <is>
          <t>Any</t>
        </is>
      </c>
      <c r="P455" s="45" t="inlineStr">
        <is>
          <t>Equipment (smithing item, not a unit)</t>
        </is>
      </c>
      <c r="Q455" s="44" t="inlineStr">
        <is>
          <t>Not planned</t>
        </is>
      </c>
    </row>
    <row r="456" ht="15" customHeight="1" s="39">
      <c r="A456" s="44" t="inlineStr">
        <is>
          <t>Retired / not planned</t>
        </is>
      </c>
      <c r="B456" s="44" t="n"/>
      <c r="C456" s="44" t="inlineStr">
        <is>
          <t>Bramble Gauntlet</t>
        </is>
      </c>
      <c r="D456" s="44" t="inlineStr">
        <is>
          <t>bramble-gauntlet</t>
        </is>
      </c>
      <c r="E456" s="44" t="n"/>
      <c r="F456" s="44" t="inlineStr">
        <is>
          <t>Uncommon</t>
        </is>
      </c>
      <c r="G456" s="44" t="n">
        <v>1</v>
      </c>
      <c r="H456" s="44" t="n">
        <v>0</v>
      </c>
      <c r="I456" s="44" t="n">
        <v>1</v>
      </c>
      <c r="J456" s="44" t="n">
        <v>2</v>
      </c>
      <c r="K456" s="45" t="inlineStr">
        <is>
          <t>—</t>
        </is>
      </c>
      <c r="L456" s="44" t="n"/>
      <c r="M456" s="44" t="inlineStr">
        <is>
          <t>—</t>
        </is>
      </c>
      <c r="N456" s="44" t="inlineStr">
        <is>
          <t>Other</t>
        </is>
      </c>
      <c r="O456" s="44" t="inlineStr">
        <is>
          <t>Any</t>
        </is>
      </c>
      <c r="P456" s="45" t="inlineStr">
        <is>
          <t>Equipment (smithing item, not a unit)</t>
        </is>
      </c>
      <c r="Q456" s="44" t="inlineStr">
        <is>
          <t>Not planned</t>
        </is>
      </c>
    </row>
    <row r="457" ht="15" customHeight="1" s="39">
      <c r="A457" s="44" t="inlineStr">
        <is>
          <t>Retired / not planned</t>
        </is>
      </c>
      <c r="B457" s="44" t="n"/>
      <c r="C457" s="44" t="inlineStr">
        <is>
          <t>Dragonscale Mail</t>
        </is>
      </c>
      <c r="D457" s="44" t="inlineStr">
        <is>
          <t>dragonscale-mail</t>
        </is>
      </c>
      <c r="E457" s="44" t="n"/>
      <c r="F457" s="44" t="inlineStr">
        <is>
          <t>Legendary</t>
        </is>
      </c>
      <c r="G457" s="44" t="n">
        <v>2</v>
      </c>
      <c r="H457" s="44" t="n">
        <v>0</v>
      </c>
      <c r="I457" s="44" t="n">
        <v>0</v>
      </c>
      <c r="J457" s="44" t="n">
        <v>12</v>
      </c>
      <c r="K457" s="45" t="inlineStr">
        <is>
          <t>—</t>
        </is>
      </c>
      <c r="L457" s="44" t="n"/>
      <c r="M457" s="44" t="inlineStr">
        <is>
          <t>—</t>
        </is>
      </c>
      <c r="N457" s="44" t="inlineStr">
        <is>
          <t>Dragon &amp; Wyrm</t>
        </is>
      </c>
      <c r="O457" s="44" t="inlineStr">
        <is>
          <t>Any</t>
        </is>
      </c>
      <c r="P457" s="45" t="inlineStr">
        <is>
          <t>Equipment (smithing item, not a unit)</t>
        </is>
      </c>
      <c r="Q457" s="44" t="inlineStr">
        <is>
          <t>Not planned</t>
        </is>
      </c>
    </row>
    <row r="458" ht="15" customHeight="1" s="39">
      <c r="A458" s="44" t="inlineStr">
        <is>
          <t>Retired / not planned</t>
        </is>
      </c>
      <c r="B458" s="44" t="n"/>
      <c r="C458" s="44" t="inlineStr">
        <is>
          <t>Netmender's Harpoon</t>
        </is>
      </c>
      <c r="D458" s="44" t="inlineStr">
        <is>
          <t>netmender-harpoon</t>
        </is>
      </c>
      <c r="E458" s="44" t="n"/>
      <c r="F458" s="44" t="inlineStr">
        <is>
          <t>Uncommon</t>
        </is>
      </c>
      <c r="G458" s="44" t="n">
        <v>1</v>
      </c>
      <c r="H458" s="44" t="n">
        <v>0</v>
      </c>
      <c r="I458" s="44" t="n">
        <v>2</v>
      </c>
      <c r="J458" s="44" t="n">
        <v>0</v>
      </c>
      <c r="K458" s="45" t="inlineStr">
        <is>
          <t>—</t>
        </is>
      </c>
      <c r="L458" s="44" t="n"/>
      <c r="M458" s="44" t="inlineStr">
        <is>
          <t>—</t>
        </is>
      </c>
      <c r="N458" s="44" t="inlineStr">
        <is>
          <t>Other</t>
        </is>
      </c>
      <c r="O458" s="44" t="inlineStr">
        <is>
          <t>Any</t>
        </is>
      </c>
      <c r="P458" s="45" t="inlineStr">
        <is>
          <t>Equipment (smithing item, not a unit)</t>
        </is>
      </c>
      <c r="Q458" s="44" t="inlineStr">
        <is>
          <t>Not planned</t>
        </is>
      </c>
    </row>
    <row r="459" ht="15" customHeight="1" s="39">
      <c r="A459" s="44" t="inlineStr">
        <is>
          <t>Retired / not planned</t>
        </is>
      </c>
      <c r="B459" s="44" t="n"/>
      <c r="C459" s="44" t="inlineStr">
        <is>
          <t>Quill Spear</t>
        </is>
      </c>
      <c r="D459" s="44" t="inlineStr">
        <is>
          <t>quill-spear</t>
        </is>
      </c>
      <c r="E459" s="44" t="n"/>
      <c r="F459" s="44" t="inlineStr">
        <is>
          <t>Uncommon</t>
        </is>
      </c>
      <c r="G459" s="44" t="n">
        <v>1</v>
      </c>
      <c r="H459" s="44" t="n">
        <v>0</v>
      </c>
      <c r="I459" s="44" t="n">
        <v>3</v>
      </c>
      <c r="J459" s="44" t="n">
        <v>0</v>
      </c>
      <c r="K459" s="45" t="inlineStr">
        <is>
          <t>—</t>
        </is>
      </c>
      <c r="L459" s="44" t="n"/>
      <c r="M459" s="44" t="inlineStr">
        <is>
          <t>—</t>
        </is>
      </c>
      <c r="N459" s="44" t="inlineStr">
        <is>
          <t>Porcupine</t>
        </is>
      </c>
      <c r="O459" s="44" t="inlineStr">
        <is>
          <t>Any</t>
        </is>
      </c>
      <c r="P459" s="45" t="inlineStr">
        <is>
          <t>Equipment (smithing item, not a unit)</t>
        </is>
      </c>
      <c r="Q459" s="44" t="inlineStr">
        <is>
          <t>Not planned</t>
        </is>
      </c>
    </row>
    <row r="460" ht="15" customHeight="1" s="39">
      <c r="A460" s="44" t="inlineStr">
        <is>
          <t>Retired / not planned</t>
        </is>
      </c>
      <c r="B460" s="44" t="n"/>
      <c r="C460" s="44" t="inlineStr">
        <is>
          <t>Siege Hammer</t>
        </is>
      </c>
      <c r="D460" s="44" t="inlineStr">
        <is>
          <t>siege-hammer</t>
        </is>
      </c>
      <c r="E460" s="44" t="n"/>
      <c r="F460" s="44" t="inlineStr">
        <is>
          <t>Rare</t>
        </is>
      </c>
      <c r="G460" s="44" t="n">
        <v>2</v>
      </c>
      <c r="H460" s="44" t="n">
        <v>0</v>
      </c>
      <c r="I460" s="44" t="n">
        <v>2</v>
      </c>
      <c r="J460" s="44" t="n">
        <v>0</v>
      </c>
      <c r="K460" s="45" t="inlineStr">
        <is>
          <t>—</t>
        </is>
      </c>
      <c r="L460" s="44" t="n"/>
      <c r="M460" s="44" t="inlineStr">
        <is>
          <t>—</t>
        </is>
      </c>
      <c r="N460" s="44" t="inlineStr">
        <is>
          <t>Other</t>
        </is>
      </c>
      <c r="O460" s="44" t="inlineStr">
        <is>
          <t>Any</t>
        </is>
      </c>
      <c r="P460" s="45" t="inlineStr">
        <is>
          <t>Equipment (smithing item, not a unit)</t>
        </is>
      </c>
      <c r="Q460" s="44" t="inlineStr">
        <is>
          <t>Not planned</t>
        </is>
      </c>
    </row>
    <row r="461" ht="15" customHeight="1" s="39">
      <c r="A461" s="44" t="inlineStr">
        <is>
          <t>Retired / not planned</t>
        </is>
      </c>
      <c r="B461" s="44" t="n"/>
      <c r="C461" s="44" t="inlineStr">
        <is>
          <t>Sunfeather Plume</t>
        </is>
      </c>
      <c r="D461" s="44" t="inlineStr">
        <is>
          <t>sunfeather-plume</t>
        </is>
      </c>
      <c r="E461" s="44" t="n"/>
      <c r="F461" s="44" t="inlineStr">
        <is>
          <t>Rare</t>
        </is>
      </c>
      <c r="G461" s="44" t="n">
        <v>1</v>
      </c>
      <c r="H461" s="44" t="n">
        <v>0</v>
      </c>
      <c r="I461" s="44" t="n">
        <v>1</v>
      </c>
      <c r="J461" s="44" t="n">
        <v>2</v>
      </c>
      <c r="K461" s="45" t="inlineStr">
        <is>
          <t>—</t>
        </is>
      </c>
      <c r="L461" s="44" t="n"/>
      <c r="M461" s="44" t="inlineStr">
        <is>
          <t>—</t>
        </is>
      </c>
      <c r="N461" s="44" t="inlineStr">
        <is>
          <t>Hummingbird</t>
        </is>
      </c>
      <c r="O461" s="44" t="inlineStr">
        <is>
          <t>Any</t>
        </is>
      </c>
      <c r="P461" s="45" t="inlineStr">
        <is>
          <t>Equipment (smithing item, not a unit)</t>
        </is>
      </c>
      <c r="Q461" s="44" t="inlineStr">
        <is>
          <t>Not planned</t>
        </is>
      </c>
    </row>
    <row r="462" ht="15" customHeight="1" s="39">
      <c r="A462" s="44" t="inlineStr">
        <is>
          <t>Retired / not planned</t>
        </is>
      </c>
      <c r="B462" s="44" t="n"/>
      <c r="C462" s="44" t="inlineStr">
        <is>
          <t>Blizzard</t>
        </is>
      </c>
      <c r="D462" s="44" t="inlineStr">
        <is>
          <t>blizzard</t>
        </is>
      </c>
      <c r="E462" s="44" t="n"/>
      <c r="F462" s="44" t="inlineStr">
        <is>
          <t>Rare</t>
        </is>
      </c>
      <c r="G462" s="44" t="n">
        <v>0</v>
      </c>
      <c r="H462" s="44" t="n">
        <v>0</v>
      </c>
      <c r="I462" s="44" t="n">
        <v>0</v>
      </c>
      <c r="J462" s="44" t="n">
        <v>1</v>
      </c>
      <c r="K462" s="45" t="inlineStr">
        <is>
          <t>—</t>
        </is>
      </c>
      <c r="L462" s="44" t="n"/>
      <c r="M462" s="44" t="inlineStr">
        <is>
          <t>—</t>
        </is>
      </c>
      <c r="N462" s="44" t="inlineStr">
        <is>
          <t>Other</t>
        </is>
      </c>
      <c r="O462" s="44" t="inlineStr">
        <is>
          <t>Ice</t>
        </is>
      </c>
      <c r="P462" s="45" t="inlineStr">
        <is>
          <t>Field card: belongs to a map's weather, not a unit</t>
        </is>
      </c>
      <c r="Q462" s="44" t="inlineStr">
        <is>
          <t>Not planned</t>
        </is>
      </c>
    </row>
    <row r="463" ht="15" customHeight="1" s="39">
      <c r="A463" s="44" t="inlineStr">
        <is>
          <t>Retired / not planned</t>
        </is>
      </c>
      <c r="B463" s="44" t="n"/>
      <c r="C463" s="44" t="inlineStr">
        <is>
          <t>Full Moon</t>
        </is>
      </c>
      <c r="D463" s="44" t="inlineStr">
        <is>
          <t>full-moon</t>
        </is>
      </c>
      <c r="E463" s="44" t="n"/>
      <c r="F463" s="44" t="inlineStr">
        <is>
          <t>Rare</t>
        </is>
      </c>
      <c r="G463" s="44" t="n">
        <v>0</v>
      </c>
      <c r="H463" s="44" t="n">
        <v>0</v>
      </c>
      <c r="I463" s="44" t="n">
        <v>0</v>
      </c>
      <c r="J463" s="44" t="n">
        <v>1</v>
      </c>
      <c r="K463" s="45" t="inlineStr">
        <is>
          <t>—</t>
        </is>
      </c>
      <c r="L463" s="44" t="n"/>
      <c r="M463" s="44" t="inlineStr">
        <is>
          <t>—</t>
        </is>
      </c>
      <c r="N463" s="44" t="inlineStr">
        <is>
          <t>Other</t>
        </is>
      </c>
      <c r="O463" s="44" t="inlineStr">
        <is>
          <t>Any</t>
        </is>
      </c>
      <c r="P463" s="45" t="inlineStr">
        <is>
          <t>Field card: belongs to a map's weather, not a unit</t>
        </is>
      </c>
      <c r="Q463" s="44" t="inlineStr">
        <is>
          <t>Not planned</t>
        </is>
      </c>
    </row>
    <row r="464" ht="15" customHeight="1" s="39">
      <c r="A464" s="44" t="inlineStr">
        <is>
          <t>Retired / not planned</t>
        </is>
      </c>
      <c r="B464" s="44" t="n"/>
      <c r="C464" s="44" t="inlineStr">
        <is>
          <t>Heatwave</t>
        </is>
      </c>
      <c r="D464" s="44" t="inlineStr">
        <is>
          <t>heatwave</t>
        </is>
      </c>
      <c r="E464" s="44" t="n"/>
      <c r="F464" s="44" t="inlineStr">
        <is>
          <t>Rare</t>
        </is>
      </c>
      <c r="G464" s="44" t="n">
        <v>0</v>
      </c>
      <c r="H464" s="44" t="n">
        <v>0</v>
      </c>
      <c r="I464" s="44" t="n">
        <v>0</v>
      </c>
      <c r="J464" s="44" t="n">
        <v>1</v>
      </c>
      <c r="K464" s="45" t="inlineStr">
        <is>
          <t>—</t>
        </is>
      </c>
      <c r="L464" s="44" t="n"/>
      <c r="M464" s="44" t="inlineStr">
        <is>
          <t>—</t>
        </is>
      </c>
      <c r="N464" s="44" t="inlineStr">
        <is>
          <t>Other</t>
        </is>
      </c>
      <c r="O464" s="44" t="inlineStr">
        <is>
          <t>Any</t>
        </is>
      </c>
      <c r="P464" s="45" t="inlineStr">
        <is>
          <t>Field card: belongs to a map's weather, not a unit</t>
        </is>
      </c>
      <c r="Q464" s="44" t="inlineStr">
        <is>
          <t>Not planned</t>
        </is>
      </c>
    </row>
    <row r="465" ht="15" customHeight="1" s="39">
      <c r="A465" s="44" t="inlineStr">
        <is>
          <t>Retired / not planned</t>
        </is>
      </c>
      <c r="B465" s="44" t="n"/>
      <c r="C465" s="44" t="inlineStr">
        <is>
          <t>Spring Rain</t>
        </is>
      </c>
      <c r="D465" s="44" t="inlineStr">
        <is>
          <t>spring-rain</t>
        </is>
      </c>
      <c r="E465" s="44" t="n"/>
      <c r="F465" s="44" t="inlineStr">
        <is>
          <t>Uncommon</t>
        </is>
      </c>
      <c r="G465" s="44" t="n">
        <v>0</v>
      </c>
      <c r="H465" s="44" t="n">
        <v>0</v>
      </c>
      <c r="I465" s="44" t="n">
        <v>0</v>
      </c>
      <c r="J465" s="44" t="n">
        <v>1</v>
      </c>
      <c r="K465" s="45" t="inlineStr">
        <is>
          <t>—</t>
        </is>
      </c>
      <c r="L465" s="44" t="n"/>
      <c r="M465" s="44" t="inlineStr">
        <is>
          <t>—</t>
        </is>
      </c>
      <c r="N465" s="44" t="inlineStr">
        <is>
          <t>Other</t>
        </is>
      </c>
      <c r="O465" s="44" t="inlineStr">
        <is>
          <t>Any</t>
        </is>
      </c>
      <c r="P465" s="45" t="inlineStr">
        <is>
          <t>Field card: belongs to a map's weather, not a unit</t>
        </is>
      </c>
      <c r="Q465" s="44" t="inlineStr">
        <is>
          <t>Not planned</t>
        </is>
      </c>
    </row>
    <row r="466" ht="15" customHeight="1" s="39">
      <c r="A466" s="44" t="inlineStr">
        <is>
          <t>Retired / not planned</t>
        </is>
      </c>
      <c r="B466" s="44" t="n"/>
      <c r="C466" s="44" t="inlineStr">
        <is>
          <t>Thick Fog</t>
        </is>
      </c>
      <c r="D466" s="44" t="inlineStr">
        <is>
          <t>thick-fog</t>
        </is>
      </c>
      <c r="E466" s="44" t="n"/>
      <c r="F466" s="44" t="inlineStr">
        <is>
          <t>Uncommon</t>
        </is>
      </c>
      <c r="G466" s="44" t="n">
        <v>0</v>
      </c>
      <c r="H466" s="44" t="n">
        <v>0</v>
      </c>
      <c r="I466" s="44" t="n">
        <v>0</v>
      </c>
      <c r="J466" s="44" t="n">
        <v>1</v>
      </c>
      <c r="K466" s="45" t="inlineStr">
        <is>
          <t>—</t>
        </is>
      </c>
      <c r="L466" s="44" t="n"/>
      <c r="M466" s="44" t="inlineStr">
        <is>
          <t>—</t>
        </is>
      </c>
      <c r="N466" s="44" t="inlineStr">
        <is>
          <t>Other</t>
        </is>
      </c>
      <c r="O466" s="44" t="inlineStr">
        <is>
          <t>Any</t>
        </is>
      </c>
      <c r="P466" s="45" t="inlineStr">
        <is>
          <t>Field card: belongs to a map's weather, not a unit</t>
        </is>
      </c>
      <c r="Q466" s="44" t="inlineStr">
        <is>
          <t>Not planned</t>
        </is>
      </c>
    </row>
    <row r="467" ht="15" customHeight="1" s="39">
      <c r="A467" s="44" t="inlineStr">
        <is>
          <t>Retired / not planned</t>
        </is>
      </c>
      <c r="B467" s="44" t="n"/>
      <c r="C467" s="44" t="inlineStr">
        <is>
          <t>Abyssal Ink</t>
        </is>
      </c>
      <c r="D467" s="44" t="inlineStr">
        <is>
          <t>abyssal-ink</t>
        </is>
      </c>
      <c r="E467" s="44" t="n"/>
      <c r="F467" s="44" t="inlineStr">
        <is>
          <t>Uncommon</t>
        </is>
      </c>
      <c r="G467" s="44" t="n">
        <v>0</v>
      </c>
      <c r="H467" s="44" t="n">
        <v>0</v>
      </c>
      <c r="I467" s="44" t="n">
        <v>0</v>
      </c>
      <c r="J467" s="44" t="n">
        <v>1</v>
      </c>
      <c r="K467" s="45" t="inlineStr">
        <is>
          <t>—</t>
        </is>
      </c>
      <c r="L467" s="44" t="n"/>
      <c r="M467" s="44" t="inlineStr">
        <is>
          <t>—</t>
        </is>
      </c>
      <c r="N467" s="44" t="inlineStr">
        <is>
          <t>Other</t>
        </is>
      </c>
      <c r="O467" s="44" t="inlineStr">
        <is>
          <t>Any</t>
        </is>
      </c>
      <c r="P467" s="45" t="inlineStr">
        <is>
          <t>Materia (a crafting item, not a unit)</t>
        </is>
      </c>
      <c r="Q467" s="44" t="inlineStr">
        <is>
          <t>Not planned</t>
        </is>
      </c>
    </row>
    <row r="468" ht="15" customHeight="1" s="39">
      <c r="A468" s="44" t="inlineStr">
        <is>
          <t>Retired / not planned</t>
        </is>
      </c>
      <c r="B468" s="44" t="n"/>
      <c r="C468" s="44" t="inlineStr">
        <is>
          <t>Dragon Scale</t>
        </is>
      </c>
      <c r="D468" s="44" t="inlineStr">
        <is>
          <t>dragon-scale</t>
        </is>
      </c>
      <c r="E468" s="44" t="n"/>
      <c r="F468" s="44" t="inlineStr">
        <is>
          <t>Legendary</t>
        </is>
      </c>
      <c r="G468" s="44" t="n">
        <v>0</v>
      </c>
      <c r="H468" s="44" t="n">
        <v>0</v>
      </c>
      <c r="I468" s="44" t="n">
        <v>0</v>
      </c>
      <c r="J468" s="44" t="n">
        <v>1</v>
      </c>
      <c r="K468" s="45" t="inlineStr">
        <is>
          <t>—</t>
        </is>
      </c>
      <c r="L468" s="44" t="n"/>
      <c r="M468" s="44" t="inlineStr">
        <is>
          <t>—</t>
        </is>
      </c>
      <c r="N468" s="44" t="inlineStr">
        <is>
          <t>Dragon &amp; Wyrm</t>
        </is>
      </c>
      <c r="O468" s="44" t="inlineStr">
        <is>
          <t>Any</t>
        </is>
      </c>
      <c r="P468" s="45" t="inlineStr">
        <is>
          <t>Materia (a crafting item, not a unit)</t>
        </is>
      </c>
      <c r="Q468" s="44" t="inlineStr">
        <is>
          <t>Not planned</t>
        </is>
      </c>
    </row>
    <row r="469" ht="15" customHeight="1" s="39">
      <c r="A469" s="44" t="inlineStr">
        <is>
          <t>Retired / not planned</t>
        </is>
      </c>
      <c r="B469" s="44" t="n"/>
      <c r="C469" s="44" t="inlineStr">
        <is>
          <t>Ember Core</t>
        </is>
      </c>
      <c r="D469" s="44" t="inlineStr">
        <is>
          <t>ember-core</t>
        </is>
      </c>
      <c r="E469" s="44" t="n"/>
      <c r="F469" s="44" t="inlineStr">
        <is>
          <t>Rare</t>
        </is>
      </c>
      <c r="G469" s="44" t="n">
        <v>0</v>
      </c>
      <c r="H469" s="44" t="n">
        <v>0</v>
      </c>
      <c r="I469" s="44" t="n">
        <v>0</v>
      </c>
      <c r="J469" s="44" t="n">
        <v>1</v>
      </c>
      <c r="K469" s="45" t="inlineStr">
        <is>
          <t>—</t>
        </is>
      </c>
      <c r="L469" s="44" t="n"/>
      <c r="M469" s="44" t="inlineStr">
        <is>
          <t>—</t>
        </is>
      </c>
      <c r="N469" s="44" t="inlineStr">
        <is>
          <t>Other</t>
        </is>
      </c>
      <c r="O469" s="44" t="inlineStr">
        <is>
          <t>Any</t>
        </is>
      </c>
      <c r="P469" s="45" t="inlineStr">
        <is>
          <t>Materia (a crafting item, not a unit)</t>
        </is>
      </c>
      <c r="Q469" s="44" t="inlineStr">
        <is>
          <t>Not planned</t>
        </is>
      </c>
    </row>
    <row r="470" ht="15" customHeight="1" s="39">
      <c r="A470" s="44" t="inlineStr">
        <is>
          <t>Retired / not planned</t>
        </is>
      </c>
      <c r="B470" s="44" t="n"/>
      <c r="C470" s="44" t="inlineStr">
        <is>
          <t>Iron Shard</t>
        </is>
      </c>
      <c r="D470" s="44" t="inlineStr">
        <is>
          <t>iron-shard</t>
        </is>
      </c>
      <c r="E470" s="44" t="n"/>
      <c r="F470" s="44" t="inlineStr">
        <is>
          <t>Common</t>
        </is>
      </c>
      <c r="G470" s="44" t="n">
        <v>0</v>
      </c>
      <c r="H470" s="44" t="n">
        <v>0</v>
      </c>
      <c r="I470" s="44" t="n">
        <v>0</v>
      </c>
      <c r="J470" s="44" t="n">
        <v>1</v>
      </c>
      <c r="K470" s="45" t="inlineStr">
        <is>
          <t>—</t>
        </is>
      </c>
      <c r="L470" s="44" t="n"/>
      <c r="M470" s="44" t="inlineStr">
        <is>
          <t>—</t>
        </is>
      </c>
      <c r="N470" s="44" t="inlineStr">
        <is>
          <t>Other</t>
        </is>
      </c>
      <c r="O470" s="44" t="inlineStr">
        <is>
          <t>Any</t>
        </is>
      </c>
      <c r="P470" s="45" t="inlineStr">
        <is>
          <t>Materia (a crafting item, not a unit)</t>
        </is>
      </c>
      <c r="Q470" s="44" t="inlineStr">
        <is>
          <t>Not planned</t>
        </is>
      </c>
    </row>
    <row r="471" ht="15" customHeight="1" s="39">
      <c r="A471" s="44" t="inlineStr">
        <is>
          <t>Retired / not planned</t>
        </is>
      </c>
      <c r="B471" s="44" t="n"/>
      <c r="C471" s="44" t="inlineStr">
        <is>
          <t>River Pearl</t>
        </is>
      </c>
      <c r="D471" s="44" t="inlineStr">
        <is>
          <t>river-pearl</t>
        </is>
      </c>
      <c r="E471" s="44" t="n"/>
      <c r="F471" s="44" t="inlineStr">
        <is>
          <t>Uncommon</t>
        </is>
      </c>
      <c r="G471" s="44" t="n">
        <v>0</v>
      </c>
      <c r="H471" s="44" t="n">
        <v>0</v>
      </c>
      <c r="I471" s="44" t="n">
        <v>0</v>
      </c>
      <c r="J471" s="44" t="n">
        <v>1</v>
      </c>
      <c r="K471" s="45" t="inlineStr">
        <is>
          <t>—</t>
        </is>
      </c>
      <c r="L471" s="44" t="n"/>
      <c r="M471" s="44" t="inlineStr">
        <is>
          <t>—</t>
        </is>
      </c>
      <c r="N471" s="44" t="inlineStr">
        <is>
          <t>Other</t>
        </is>
      </c>
      <c r="O471" s="44" t="inlineStr">
        <is>
          <t>Any</t>
        </is>
      </c>
      <c r="P471" s="45" t="inlineStr">
        <is>
          <t>Materia (a crafting item, not a unit)</t>
        </is>
      </c>
      <c r="Q471" s="44" t="inlineStr">
        <is>
          <t>Not planned</t>
        </is>
      </c>
    </row>
    <row r="472" ht="15" customHeight="1" s="39">
      <c r="A472" s="44" t="inlineStr">
        <is>
          <t>Retired / not planned</t>
        </is>
      </c>
      <c r="B472" s="44" t="n"/>
      <c r="C472" s="44" t="inlineStr">
        <is>
          <t>Strange Materia</t>
        </is>
      </c>
      <c r="D472" s="44" t="inlineStr">
        <is>
          <t>strange-materia</t>
        </is>
      </c>
      <c r="E472" s="44" t="n"/>
      <c r="F472" s="44" t="inlineStr">
        <is>
          <t>Rare</t>
        </is>
      </c>
      <c r="G472" s="44" t="n">
        <v>0</v>
      </c>
      <c r="H472" s="44" t="n">
        <v>0</v>
      </c>
      <c r="I472" s="44" t="n">
        <v>0</v>
      </c>
      <c r="J472" s="44" t="n">
        <v>1</v>
      </c>
      <c r="K472" s="45" t="inlineStr">
        <is>
          <t>—</t>
        </is>
      </c>
      <c r="L472" s="44" t="n"/>
      <c r="M472" s="44" t="inlineStr">
        <is>
          <t>—</t>
        </is>
      </c>
      <c r="N472" s="44" t="inlineStr">
        <is>
          <t>Other</t>
        </is>
      </c>
      <c r="O472" s="44" t="inlineStr">
        <is>
          <t>Any</t>
        </is>
      </c>
      <c r="P472" s="45" t="inlineStr">
        <is>
          <t>Materia (a crafting item, not a unit)</t>
        </is>
      </c>
      <c r="Q472" s="44" t="inlineStr">
        <is>
          <t>Not planned</t>
        </is>
      </c>
    </row>
    <row r="473" ht="15" customHeight="1" s="39">
      <c r="A473" s="44" t="inlineStr">
        <is>
          <t>Retired / not planned</t>
        </is>
      </c>
      <c r="B473" s="44" t="n"/>
      <c r="C473" s="44" t="inlineStr">
        <is>
          <t>Tempering Stone</t>
        </is>
      </c>
      <c r="D473" s="44" t="inlineStr">
        <is>
          <t>tempering-stone</t>
        </is>
      </c>
      <c r="E473" s="44" t="n"/>
      <c r="F473" s="44" t="inlineStr">
        <is>
          <t>Rare</t>
        </is>
      </c>
      <c r="G473" s="44" t="n">
        <v>0</v>
      </c>
      <c r="H473" s="44" t="n">
        <v>0</v>
      </c>
      <c r="I473" s="44" t="n">
        <v>0</v>
      </c>
      <c r="J473" s="44" t="n">
        <v>1</v>
      </c>
      <c r="K473" s="45" t="inlineStr">
        <is>
          <t>—</t>
        </is>
      </c>
      <c r="L473" s="44" t="n"/>
      <c r="M473" s="44" t="inlineStr">
        <is>
          <t>—</t>
        </is>
      </c>
      <c r="N473" s="44" t="inlineStr">
        <is>
          <t>Other</t>
        </is>
      </c>
      <c r="O473" s="44" t="inlineStr">
        <is>
          <t>Any</t>
        </is>
      </c>
      <c r="P473" s="45" t="inlineStr">
        <is>
          <t>Materia (a crafting item, not a unit)</t>
        </is>
      </c>
      <c r="Q473" s="44" t="inlineStr">
        <is>
          <t>Not planned</t>
        </is>
      </c>
    </row>
    <row r="474" ht="15" customHeight="1" s="39">
      <c r="A474" s="44" t="inlineStr">
        <is>
          <t>Retired / not planned</t>
        </is>
      </c>
      <c r="B474" s="44" t="n"/>
      <c r="C474" s="44" t="inlineStr">
        <is>
          <t>Abyss Lantern Squid</t>
        </is>
      </c>
      <c r="D474" s="44" t="inlineStr">
        <is>
          <t>abyss-lantern-squid</t>
        </is>
      </c>
      <c r="E474" s="44" t="n"/>
      <c r="F474" s="44" t="inlineStr">
        <is>
          <t>Uncommon</t>
        </is>
      </c>
      <c r="G474" s="44" t="n">
        <v>1</v>
      </c>
      <c r="H474" s="44" t="n">
        <v>2</v>
      </c>
      <c r="I474" s="44" t="n">
        <v>3</v>
      </c>
      <c r="J474" s="44" t="n">
        <v>11</v>
      </c>
      <c r="K474" s="45" t="inlineStr">
        <is>
          <t>Tide, Shock (30%)</t>
        </is>
      </c>
      <c r="L474" s="44" t="n"/>
      <c r="M474" s="44" t="inlineStr">
        <is>
          <t>Mollusc (Aquatic)</t>
        </is>
      </c>
      <c r="N474" s="44" t="inlineStr">
        <is>
          <t>Octopus &amp; Squid</t>
        </is>
      </c>
      <c r="O474" s="44" t="inlineStr">
        <is>
          <t>Ocean</t>
        </is>
      </c>
      <c r="P474" s="45" t="inlineStr">
        <is>
          <t>Raid card (raids are out of this plan)</t>
        </is>
      </c>
      <c r="Q474" s="44" t="inlineStr">
        <is>
          <t>Not planned</t>
        </is>
      </c>
    </row>
    <row r="475" ht="15" customHeight="1" s="39">
      <c r="A475" s="44" t="inlineStr">
        <is>
          <t>Retired / not planned</t>
        </is>
      </c>
      <c r="B475" s="44" t="n"/>
      <c r="C475" s="44" t="inlineStr">
        <is>
          <t>Glass Octopus</t>
        </is>
      </c>
      <c r="D475" s="44" t="inlineStr">
        <is>
          <t>glass-octopus</t>
        </is>
      </c>
      <c r="E475" s="44" t="n"/>
      <c r="F475" s="44" t="inlineStr">
        <is>
          <t>Rare</t>
        </is>
      </c>
      <c r="G475" s="44" t="n">
        <v>1</v>
      </c>
      <c r="H475" s="44" t="n">
        <v>2</v>
      </c>
      <c r="I475" s="44" t="n">
        <v>4</v>
      </c>
      <c r="J475" s="44" t="n">
        <v>14</v>
      </c>
      <c r="K475" s="45" t="inlineStr">
        <is>
          <t>Corrode 2, Stealth</t>
        </is>
      </c>
      <c r="L475" s="44" t="n"/>
      <c r="M475" s="44" t="inlineStr">
        <is>
          <t>Mollusc (Aquatic)</t>
        </is>
      </c>
      <c r="N475" s="44" t="inlineStr">
        <is>
          <t>Octopus &amp; Squid</t>
        </is>
      </c>
      <c r="O475" s="44" t="inlineStr">
        <is>
          <t>Ocean</t>
        </is>
      </c>
      <c r="P475" s="45" t="inlineStr">
        <is>
          <t>Raid card (raids are out of this plan)</t>
        </is>
      </c>
      <c r="Q475" s="44" t="inlineStr">
        <is>
          <t>Not planned</t>
        </is>
      </c>
    </row>
    <row r="476" ht="15" customHeight="1" s="39">
      <c r="A476" s="44" t="inlineStr">
        <is>
          <t>Retired / not planned</t>
        </is>
      </c>
      <c r="B476" s="44" t="n"/>
      <c r="C476" s="44" t="inlineStr">
        <is>
          <t>Goliath Broodmother</t>
        </is>
      </c>
      <c r="D476" s="44" t="inlineStr">
        <is>
          <t>goliath-broodmother</t>
        </is>
      </c>
      <c r="E476" s="44" t="n"/>
      <c r="F476" s="44" t="inlineStr">
        <is>
          <t>Legendary</t>
        </is>
      </c>
      <c r="G476" s="44" t="n">
        <v>3</v>
      </c>
      <c r="H476" s="44" t="n">
        <v>3</v>
      </c>
      <c r="I476" s="44" t="n">
        <v>9</v>
      </c>
      <c r="J476" s="44" t="n">
        <v>34</v>
      </c>
      <c r="K476" s="45" t="inlineStr">
        <is>
          <t>Progeny (2× inkcloud-squid), Inspiring 2</t>
        </is>
      </c>
      <c r="L476" s="44" t="n"/>
      <c r="M476" s="44" t="inlineStr">
        <is>
          <t>Mollusc (Aquatic)</t>
        </is>
      </c>
      <c r="N476" s="44" t="inlineStr">
        <is>
          <t>Octopus &amp; Squid</t>
        </is>
      </c>
      <c r="O476" s="44" t="inlineStr">
        <is>
          <t>Ocean</t>
        </is>
      </c>
      <c r="P476" s="45" t="inlineStr">
        <is>
          <t>Raid card (raids are out of this plan)</t>
        </is>
      </c>
      <c r="Q476" s="44" t="inlineStr">
        <is>
          <t>Not planned</t>
        </is>
      </c>
    </row>
    <row r="477" ht="15" customHeight="1" s="39">
      <c r="A477" s="44" t="inlineStr">
        <is>
          <t>Retired / not planned</t>
        </is>
      </c>
      <c r="B477" s="44" t="n"/>
      <c r="C477" s="44" t="inlineStr">
        <is>
          <t>Goliath Tentacle</t>
        </is>
      </c>
      <c r="D477" s="44" t="inlineStr">
        <is>
          <t>goliath-tentacle</t>
        </is>
      </c>
      <c r="E477" s="44" t="n"/>
      <c r="F477" s="44" t="inlineStr">
        <is>
          <t>Epic</t>
        </is>
      </c>
      <c r="G477" s="44" t="n">
        <v>2</v>
      </c>
      <c r="H477" s="44" t="n">
        <v>3</v>
      </c>
      <c r="I477" s="44" t="n">
        <v>8</v>
      </c>
      <c r="J477" s="44" t="n">
        <v>26</v>
      </c>
      <c r="K477" s="45" t="inlineStr">
        <is>
          <t>Cleave 1, Wash, Tide</t>
        </is>
      </c>
      <c r="L477" s="44" t="n"/>
      <c r="M477" s="44" t="inlineStr">
        <is>
          <t>Mollusc (Aquatic)</t>
        </is>
      </c>
      <c r="N477" s="44" t="inlineStr">
        <is>
          <t>Octopus &amp; Squid</t>
        </is>
      </c>
      <c r="O477" s="44" t="inlineStr">
        <is>
          <t>Ocean</t>
        </is>
      </c>
      <c r="P477" s="45" t="inlineStr">
        <is>
          <t>Raid card (raids are out of this plan)</t>
        </is>
      </c>
      <c r="Q477" s="44" t="inlineStr">
        <is>
          <t>Not planned</t>
        </is>
      </c>
    </row>
    <row r="478" ht="15" customHeight="1" s="39">
      <c r="A478" s="44" t="inlineStr">
        <is>
          <t>Retired / not planned</t>
        </is>
      </c>
      <c r="B478" s="44" t="n"/>
      <c r="C478" s="44" t="inlineStr">
        <is>
          <t>Inkcloud Squid</t>
        </is>
      </c>
      <c r="D478" s="44" t="inlineStr">
        <is>
          <t>inkcloud-squid</t>
        </is>
      </c>
      <c r="E478" s="44" t="n"/>
      <c r="F478" s="44" t="inlineStr">
        <is>
          <t>Common</t>
        </is>
      </c>
      <c r="G478" s="44" t="n">
        <v>0</v>
      </c>
      <c r="H478" s="44" t="n">
        <v>1</v>
      </c>
      <c r="I478" s="44" t="n">
        <v>2</v>
      </c>
      <c r="J478" s="44" t="n">
        <v>7</v>
      </c>
      <c r="K478" s="45" t="inlineStr">
        <is>
          <t>Evasive, Tide, Swimmer</t>
        </is>
      </c>
      <c r="L478" s="44" t="n"/>
      <c r="M478" s="44" t="inlineStr">
        <is>
          <t>Mollusc (Aquatic)</t>
        </is>
      </c>
      <c r="N478" s="44" t="inlineStr">
        <is>
          <t>Octopus &amp; Squid</t>
        </is>
      </c>
      <c r="O478" s="44" t="inlineStr">
        <is>
          <t>Ocean</t>
        </is>
      </c>
      <c r="P478" s="45" t="inlineStr">
        <is>
          <t>Raid card (raids are out of this plan)</t>
        </is>
      </c>
      <c r="Q478" s="44" t="inlineStr">
        <is>
          <t>Not planned</t>
        </is>
      </c>
    </row>
    <row r="479" ht="15" customHeight="1" s="39">
      <c r="A479" s="44" t="inlineStr">
        <is>
          <t>Retired / not planned</t>
        </is>
      </c>
      <c r="B479" s="44" t="n"/>
      <c r="C479" s="44" t="inlineStr">
        <is>
          <t>Vampire Squid</t>
        </is>
      </c>
      <c r="D479" s="44" t="inlineStr">
        <is>
          <t>vampire-squid</t>
        </is>
      </c>
      <c r="E479" s="44" t="n"/>
      <c r="F479" s="44" t="inlineStr">
        <is>
          <t>Rare</t>
        </is>
      </c>
      <c r="G479" s="44" t="n">
        <v>2</v>
      </c>
      <c r="H479" s="44" t="n">
        <v>2</v>
      </c>
      <c r="I479" s="44" t="n">
        <v>6</v>
      </c>
      <c r="J479" s="44" t="n">
        <v>18</v>
      </c>
      <c r="K479" s="45" t="inlineStr">
        <is>
          <t>Bleed 2, Regeneration 2</t>
        </is>
      </c>
      <c r="L479" s="44" t="n"/>
      <c r="M479" s="44" t="inlineStr">
        <is>
          <t>Mollusc (Aquatic)</t>
        </is>
      </c>
      <c r="N479" s="44" t="inlineStr">
        <is>
          <t>Octopus &amp; Squid</t>
        </is>
      </c>
      <c r="O479" s="44" t="inlineStr">
        <is>
          <t>Ocean</t>
        </is>
      </c>
      <c r="P479" s="45" t="inlineStr">
        <is>
          <t>Raid card (raids are out of this plan)</t>
        </is>
      </c>
      <c r="Q479" s="44" t="inlineStr">
        <is>
          <t>Not planned</t>
        </is>
      </c>
    </row>
    <row r="480" ht="15" customHeight="1" s="39">
      <c r="A480" s="44" t="inlineStr">
        <is>
          <t>Retired / not planned</t>
        </is>
      </c>
      <c r="B480" s="44" t="n"/>
      <c r="C480" s="44" t="inlineStr">
        <is>
          <t>Black Dragon</t>
        </is>
      </c>
      <c r="D480" s="44" t="inlineStr">
        <is>
          <t>black-dragon</t>
        </is>
      </c>
      <c r="E480" s="44" t="n"/>
      <c r="F480" s="44" t="inlineStr">
        <is>
          <t>Legendary</t>
        </is>
      </c>
      <c r="G480" s="44" t="n">
        <v>4</v>
      </c>
      <c r="H480" s="44" t="n">
        <v>5</v>
      </c>
      <c r="I480" s="44" t="n">
        <v>10</v>
      </c>
      <c r="J480" s="44" t="n">
        <v>50</v>
      </c>
      <c r="K480" s="45" t="inlineStr">
        <is>
          <t>Flying, Bounty 1, Corrode 3, Darksight</t>
        </is>
      </c>
      <c r="L480" s="44" t="n"/>
      <c r="M480" s="44" t="inlineStr">
        <is>
          <t>Dragon (Scaled)</t>
        </is>
      </c>
      <c r="N480" s="44" t="inlineStr">
        <is>
          <t>Dragon &amp; Wyrm</t>
        </is>
      </c>
      <c r="O480" s="44" t="inlineStr">
        <is>
          <t>Cave</t>
        </is>
      </c>
      <c r="P480" s="45" t="inlineStr">
        <is>
          <t>Raid dragon (raids are out of this plan)</t>
        </is>
      </c>
      <c r="Q480" s="44" t="inlineStr">
        <is>
          <t>Not planned</t>
        </is>
      </c>
    </row>
    <row r="481" ht="23.25" customHeight="1" s="39">
      <c r="A481" s="44" t="inlineStr">
        <is>
          <t>Retired / not planned</t>
        </is>
      </c>
      <c r="B481" s="44" t="n"/>
      <c r="C481" s="44" t="inlineStr">
        <is>
          <t>Blue Dragon</t>
        </is>
      </c>
      <c r="D481" s="44" t="inlineStr">
        <is>
          <t>blue-dragon</t>
        </is>
      </c>
      <c r="E481" s="44" t="n"/>
      <c r="F481" s="44" t="inlineStr">
        <is>
          <t>Legendary</t>
        </is>
      </c>
      <c r="G481" s="44" t="n">
        <v>4</v>
      </c>
      <c r="H481" s="44" t="n">
        <v>5</v>
      </c>
      <c r="I481" s="44" t="n">
        <v>10</v>
      </c>
      <c r="J481" s="44" t="n">
        <v>44</v>
      </c>
      <c r="K481" s="45" t="inlineStr">
        <is>
          <t>Flying, Bounty 1, Paralyze (50%), Lightning 4</t>
        </is>
      </c>
      <c r="L481" s="44" t="n"/>
      <c r="M481" s="44" t="inlineStr">
        <is>
          <t>Dragon (Scaled)</t>
        </is>
      </c>
      <c r="N481" s="44" t="inlineStr">
        <is>
          <t>Dragon &amp; Wyrm</t>
        </is>
      </c>
      <c r="O481" s="44" t="inlineStr">
        <is>
          <t>Mountain</t>
        </is>
      </c>
      <c r="P481" s="45" t="inlineStr">
        <is>
          <t>Raid dragon (raids are out of this plan)</t>
        </is>
      </c>
      <c r="Q481" s="44" t="inlineStr">
        <is>
          <t>Not planned</t>
        </is>
      </c>
    </row>
    <row r="482" ht="15" customHeight="1" s="39">
      <c r="A482" s="44" t="inlineStr">
        <is>
          <t>Retired / not planned</t>
        </is>
      </c>
      <c r="B482" s="44" t="n"/>
      <c r="C482" s="44" t="inlineStr">
        <is>
          <t>Green Dragon</t>
        </is>
      </c>
      <c r="D482" s="44" t="inlineStr">
        <is>
          <t>green-dragon</t>
        </is>
      </c>
      <c r="E482" s="44" t="n"/>
      <c r="F482" s="44" t="inlineStr">
        <is>
          <t>Legendary</t>
        </is>
      </c>
      <c r="G482" s="44" t="n">
        <v>4</v>
      </c>
      <c r="H482" s="44" t="n">
        <v>5</v>
      </c>
      <c r="I482" s="44" t="n">
        <v>10</v>
      </c>
      <c r="J482" s="44" t="n">
        <v>50</v>
      </c>
      <c r="K482" s="45" t="inlineStr">
        <is>
          <t>Flying, Bounty 1, Poison 3</t>
        </is>
      </c>
      <c r="L482" s="44" t="n"/>
      <c r="M482" s="44" t="inlineStr">
        <is>
          <t>Dragon (Scaled)</t>
        </is>
      </c>
      <c r="N482" s="44" t="inlineStr">
        <is>
          <t>Dragon &amp; Wyrm</t>
        </is>
      </c>
      <c r="O482" s="44" t="inlineStr">
        <is>
          <t>Swamp</t>
        </is>
      </c>
      <c r="P482" s="45" t="inlineStr">
        <is>
          <t>Raid dragon (raids are out of this plan)</t>
        </is>
      </c>
      <c r="Q482" s="44" t="inlineStr">
        <is>
          <t>Not planned</t>
        </is>
      </c>
    </row>
    <row r="483" ht="15" customHeight="1" s="39">
      <c r="A483" s="44" t="inlineStr">
        <is>
          <t>Retired / not planned</t>
        </is>
      </c>
      <c r="B483" s="44" t="n"/>
      <c r="C483" s="44" t="inlineStr">
        <is>
          <t>Red Dragon</t>
        </is>
      </c>
      <c r="D483" s="44" t="inlineStr">
        <is>
          <t>red-dragon</t>
        </is>
      </c>
      <c r="E483" s="44" t="n"/>
      <c r="F483" s="44" t="inlineStr">
        <is>
          <t>Legendary</t>
        </is>
      </c>
      <c r="G483" s="44" t="n">
        <v>4</v>
      </c>
      <c r="H483" s="44" t="n">
        <v>5</v>
      </c>
      <c r="I483" s="44" t="n">
        <v>10</v>
      </c>
      <c r="J483" s="44" t="n">
        <v>44</v>
      </c>
      <c r="K483" s="45" t="inlineStr">
        <is>
          <t>Flying, Bounty 1, Stun 50, Fire Arrow 4</t>
        </is>
      </c>
      <c r="L483" s="44" t="n"/>
      <c r="M483" s="44" t="inlineStr">
        <is>
          <t>Dragon (Scaled)</t>
        </is>
      </c>
      <c r="N483" s="44" t="inlineStr">
        <is>
          <t>Dragon &amp; Wyrm</t>
        </is>
      </c>
      <c r="O483" s="44" t="inlineStr">
        <is>
          <t>Volcano</t>
        </is>
      </c>
      <c r="P483" s="45" t="inlineStr">
        <is>
          <t>Raid dragon (raids are out of this plan)</t>
        </is>
      </c>
      <c r="Q483" s="44" t="inlineStr">
        <is>
          <t>Not planned</t>
        </is>
      </c>
    </row>
    <row r="484" ht="15" customHeight="1" s="39">
      <c r="A484" s="44" t="inlineStr">
        <is>
          <t>Retired / not planned</t>
        </is>
      </c>
      <c r="B484" s="44" t="n"/>
      <c r="C484" s="44" t="inlineStr">
        <is>
          <t>White Dragon</t>
        </is>
      </c>
      <c r="D484" s="44" t="inlineStr">
        <is>
          <t>white-dragon</t>
        </is>
      </c>
      <c r="E484" s="44" t="n"/>
      <c r="F484" s="44" t="inlineStr">
        <is>
          <t>Legendary</t>
        </is>
      </c>
      <c r="G484" s="44" t="n">
        <v>4</v>
      </c>
      <c r="H484" s="44" t="n">
        <v>5</v>
      </c>
      <c r="I484" s="44" t="n">
        <v>10</v>
      </c>
      <c r="J484" s="44" t="n">
        <v>44</v>
      </c>
      <c r="K484" s="45" t="inlineStr">
        <is>
          <t>Flying, Bounty 1, Freeze (50%), Scare 3</t>
        </is>
      </c>
      <c r="L484" s="44" t="n"/>
      <c r="M484" s="44" t="inlineStr">
        <is>
          <t>Dragon (Scaled)</t>
        </is>
      </c>
      <c r="N484" s="44" t="inlineStr">
        <is>
          <t>Dragon &amp; Wyrm</t>
        </is>
      </c>
      <c r="O484" s="44" t="inlineStr">
        <is>
          <t>Ice</t>
        </is>
      </c>
      <c r="P484" s="45" t="inlineStr">
        <is>
          <t>Raid dragon (raids are out of this plan)</t>
        </is>
      </c>
      <c r="Q484" s="44" t="inlineStr">
        <is>
          <t>Not planned</t>
        </is>
      </c>
    </row>
    <row r="485" ht="15" customHeight="1" s="39">
      <c r="A485" s="44" t="inlineStr">
        <is>
          <t>Retired / not planned</t>
        </is>
      </c>
      <c r="B485" s="44" t="n"/>
      <c r="C485" s="44" t="inlineStr">
        <is>
          <t>Tailwind</t>
        </is>
      </c>
      <c r="D485" s="44" t="inlineStr">
        <is>
          <t>tailwind</t>
        </is>
      </c>
      <c r="E485" s="44" t="n"/>
      <c r="F485" s="44" t="inlineStr">
        <is>
          <t>Uncommon</t>
        </is>
      </c>
      <c r="G485" s="44" t="n">
        <v>1</v>
      </c>
      <c r="H485" s="44" t="n">
        <v>0</v>
      </c>
      <c r="I485" s="44" t="n">
        <v>0</v>
      </c>
      <c r="J485" s="44" t="n">
        <v>0</v>
      </c>
      <c r="K485" s="45" t="inlineStr">
        <is>
          <t>—</t>
        </is>
      </c>
      <c r="L485" s="44" t="n"/>
      <c r="M485" s="44" t="inlineStr">
        <is>
          <t>—</t>
        </is>
      </c>
      <c r="N485" s="44" t="inlineStr">
        <is>
          <t>Other</t>
        </is>
      </c>
      <c r="O485" s="44" t="inlineStr">
        <is>
          <t>Any</t>
        </is>
      </c>
      <c r="P485" s="45" t="inlineStr">
        <is>
          <t>Spell (not a unit)</t>
        </is>
      </c>
      <c r="Q485" s="44" t="inlineStr">
        <is>
          <t>Not planned</t>
        </is>
      </c>
    </row>
    <row r="486" ht="15" customHeight="1" s="39">
      <c r="A486" s="44" t="inlineStr">
        <is>
          <t>Retired / not planned</t>
        </is>
      </c>
      <c r="B486" s="44" t="n"/>
      <c r="C486" s="44" t="inlineStr">
        <is>
          <t>Fork Filler</t>
        </is>
      </c>
      <c r="D486" s="44" t="inlineStr">
        <is>
          <t>test-swipe-filler</t>
        </is>
      </c>
      <c r="E486" s="44" t="n"/>
      <c r="F486" s="44" t="inlineStr">
        <is>
          <t>—</t>
        </is>
      </c>
      <c r="G486" s="44" t="n">
        <v>0</v>
      </c>
      <c r="H486" s="44" t="n">
        <v>0</v>
      </c>
      <c r="I486" s="44" t="n">
        <v>1</v>
      </c>
      <c r="J486" s="44" t="n">
        <v>1</v>
      </c>
      <c r="K486" s="45" t="inlineStr">
        <is>
          <t>—</t>
        </is>
      </c>
      <c r="L486" s="44" t="n"/>
      <c r="M486" s="44" t="inlineStr">
        <is>
          <t>—</t>
        </is>
      </c>
      <c r="N486" s="44" t="inlineStr">
        <is>
          <t>Other</t>
        </is>
      </c>
      <c r="O486" s="44" t="inlineStr">
        <is>
          <t>Any</t>
        </is>
      </c>
      <c r="P486" s="45" t="inlineStr">
        <is>
          <t>Test card (admin sandbox)</t>
        </is>
      </c>
      <c r="Q486" s="44" t="inlineStr">
        <is>
          <t>Not planned</t>
        </is>
      </c>
    </row>
    <row r="487" ht="15" customHeight="1" s="39">
      <c r="A487" s="44" t="inlineStr">
        <is>
          <t>Retired / not planned</t>
        </is>
      </c>
      <c r="B487" s="44" t="n"/>
      <c r="C487" s="44" t="inlineStr">
        <is>
          <t>Glass Cannon</t>
        </is>
      </c>
      <c r="D487" s="44" t="inlineStr">
        <is>
          <t>test-glass-cannon</t>
        </is>
      </c>
      <c r="E487" s="44" t="n"/>
      <c r="F487" s="44" t="inlineStr">
        <is>
          <t>—</t>
        </is>
      </c>
      <c r="G487" s="44" t="n">
        <v>0</v>
      </c>
      <c r="H487" s="44" t="n">
        <v>0</v>
      </c>
      <c r="I487" s="44" t="n">
        <v>999</v>
      </c>
      <c r="J487" s="44" t="n">
        <v>1</v>
      </c>
      <c r="K487" s="45" t="inlineStr">
        <is>
          <t>—</t>
        </is>
      </c>
      <c r="L487" s="44" t="n"/>
      <c r="M487" s="44" t="inlineStr">
        <is>
          <t>—</t>
        </is>
      </c>
      <c r="N487" s="44" t="inlineStr">
        <is>
          <t>Other</t>
        </is>
      </c>
      <c r="O487" s="44" t="inlineStr">
        <is>
          <t>Any</t>
        </is>
      </c>
      <c r="P487" s="45" t="inlineStr">
        <is>
          <t>Test card (admin sandbox)</t>
        </is>
      </c>
      <c r="Q487" s="44" t="inlineStr">
        <is>
          <t>Not planned</t>
        </is>
      </c>
    </row>
    <row r="488" ht="15" customHeight="1" s="39">
      <c r="A488" s="44" t="inlineStr">
        <is>
          <t>Retired / not planned</t>
        </is>
      </c>
      <c r="B488" s="44" t="n"/>
      <c r="C488" s="44" t="inlineStr">
        <is>
          <t>Kitchen Sink</t>
        </is>
      </c>
      <c r="D488" s="44" t="inlineStr">
        <is>
          <t>test-kitchen-sink</t>
        </is>
      </c>
      <c r="E488" s="44" t="n"/>
      <c r="F488" s="44" t="inlineStr">
        <is>
          <t>—</t>
        </is>
      </c>
      <c r="G488" s="44" t="n">
        <v>0</v>
      </c>
      <c r="H488" s="44" t="n">
        <v>0</v>
      </c>
      <c r="I488" s="44" t="n">
        <v>5</v>
      </c>
      <c r="J488" s="44" t="n">
        <v>20</v>
      </c>
      <c r="K488" s="45" t="inlineStr">
        <is>
          <t>Armor 3, Flying, Trigger 2, Puncture 2</t>
        </is>
      </c>
      <c r="L488" s="44" t="n"/>
      <c r="M488" s="44" t="inlineStr">
        <is>
          <t>—</t>
        </is>
      </c>
      <c r="N488" s="44" t="inlineStr">
        <is>
          <t>Other</t>
        </is>
      </c>
      <c r="O488" s="44" t="inlineStr">
        <is>
          <t>Any</t>
        </is>
      </c>
      <c r="P488" s="45" t="inlineStr">
        <is>
          <t>Test card (admin sandbox)</t>
        </is>
      </c>
      <c r="Q488" s="44" t="inlineStr">
        <is>
          <t>Not planned</t>
        </is>
      </c>
    </row>
    <row r="489" ht="15" customHeight="1" s="39">
      <c r="A489" s="44" t="inlineStr">
        <is>
          <t>Retired / not planned</t>
        </is>
      </c>
      <c r="B489" s="44" t="n"/>
      <c r="C489" s="44" t="inlineStr">
        <is>
          <t>Punching Bag</t>
        </is>
      </c>
      <c r="D489" s="44" t="inlineStr">
        <is>
          <t>test-punching-bag</t>
        </is>
      </c>
      <c r="E489" s="44" t="n"/>
      <c r="F489" s="44" t="inlineStr">
        <is>
          <t>—</t>
        </is>
      </c>
      <c r="G489" s="44" t="n">
        <v>0</v>
      </c>
      <c r="H489" s="44" t="n">
        <v>0</v>
      </c>
      <c r="I489" s="44" t="n">
        <v>0</v>
      </c>
      <c r="J489" s="44" t="n">
        <v>999</v>
      </c>
      <c r="K489" s="45" t="inlineStr">
        <is>
          <t>—</t>
        </is>
      </c>
      <c r="L489" s="44" t="n"/>
      <c r="M489" s="44" t="inlineStr">
        <is>
          <t>—</t>
        </is>
      </c>
      <c r="N489" s="44" t="inlineStr">
        <is>
          <t>Other</t>
        </is>
      </c>
      <c r="O489" s="44" t="inlineStr">
        <is>
          <t>Any</t>
        </is>
      </c>
      <c r="P489" s="45" t="inlineStr">
        <is>
          <t>Test card (admin sandbox)</t>
        </is>
      </c>
      <c r="Q489" s="44" t="inlineStr">
        <is>
          <t>Not planned</t>
        </is>
      </c>
    </row>
    <row r="490" ht="15" customHeight="1" s="39">
      <c r="A490" s="44" t="inlineStr">
        <is>
          <t>Retired / not planned</t>
        </is>
      </c>
      <c r="B490" s="44" t="n"/>
      <c r="C490" s="44" t="inlineStr">
        <is>
          <t>Test: Ambush</t>
        </is>
      </c>
      <c r="D490" s="44" t="inlineStr">
        <is>
          <t>test-skill-ambush</t>
        </is>
      </c>
      <c r="E490" s="44" t="n"/>
      <c r="F490" s="44" t="inlineStr">
        <is>
          <t>—</t>
        </is>
      </c>
      <c r="G490" s="44" t="n">
        <v>0</v>
      </c>
      <c r="H490" s="44" t="n">
        <v>0</v>
      </c>
      <c r="I490" s="44" t="n">
        <v>3</v>
      </c>
      <c r="J490" s="44" t="n">
        <v>8</v>
      </c>
      <c r="K490" s="45" t="inlineStr">
        <is>
          <t>Ambush</t>
        </is>
      </c>
      <c r="L490" s="44" t="n"/>
      <c r="M490" s="44" t="inlineStr">
        <is>
          <t>—</t>
        </is>
      </c>
      <c r="N490" s="44" t="inlineStr">
        <is>
          <t>Other</t>
        </is>
      </c>
      <c r="O490" s="44" t="inlineStr">
        <is>
          <t>Any</t>
        </is>
      </c>
      <c r="P490" s="45" t="inlineStr">
        <is>
          <t>Test card (admin sandbox)</t>
        </is>
      </c>
      <c r="Q490" s="44" t="inlineStr">
        <is>
          <t>Not planned</t>
        </is>
      </c>
    </row>
    <row r="491" ht="15" customHeight="1" s="39">
      <c r="A491" s="44" t="inlineStr">
        <is>
          <t>Retired / not planned</t>
        </is>
      </c>
      <c r="B491" s="44" t="n"/>
      <c r="C491" s="44" t="inlineStr">
        <is>
          <t>Test: Armor</t>
        </is>
      </c>
      <c r="D491" s="44" t="inlineStr">
        <is>
          <t>test-skill-armor</t>
        </is>
      </c>
      <c r="E491" s="44" t="n"/>
      <c r="F491" s="44" t="inlineStr">
        <is>
          <t>—</t>
        </is>
      </c>
      <c r="G491" s="44" t="n">
        <v>0</v>
      </c>
      <c r="H491" s="44" t="n">
        <v>0</v>
      </c>
      <c r="I491" s="44" t="n">
        <v>3</v>
      </c>
      <c r="J491" s="44" t="n">
        <v>8</v>
      </c>
      <c r="K491" s="45" t="inlineStr">
        <is>
          <t>Armor 3</t>
        </is>
      </c>
      <c r="L491" s="44" t="n"/>
      <c r="M491" s="44" t="inlineStr">
        <is>
          <t>—</t>
        </is>
      </c>
      <c r="N491" s="44" t="inlineStr">
        <is>
          <t>Other</t>
        </is>
      </c>
      <c r="O491" s="44" t="inlineStr">
        <is>
          <t>Any</t>
        </is>
      </c>
      <c r="P491" s="45" t="inlineStr">
        <is>
          <t>Test card (admin sandbox)</t>
        </is>
      </c>
      <c r="Q491" s="44" t="inlineStr">
        <is>
          <t>Not planned</t>
        </is>
      </c>
    </row>
    <row r="492" ht="15" customHeight="1" s="39">
      <c r="A492" s="44" t="inlineStr">
        <is>
          <t>Retired / not planned</t>
        </is>
      </c>
      <c r="B492" s="44" t="n"/>
      <c r="C492" s="44" t="inlineStr">
        <is>
          <t>Test: Berserk</t>
        </is>
      </c>
      <c r="D492" s="44" t="inlineStr">
        <is>
          <t>test-skill-berserk</t>
        </is>
      </c>
      <c r="E492" s="44" t="n"/>
      <c r="F492" s="44" t="inlineStr">
        <is>
          <t>—</t>
        </is>
      </c>
      <c r="G492" s="44" t="n">
        <v>0</v>
      </c>
      <c r="H492" s="44" t="n">
        <v>0</v>
      </c>
      <c r="I492" s="44" t="n">
        <v>3</v>
      </c>
      <c r="J492" s="44" t="n">
        <v>8</v>
      </c>
      <c r="K492" s="45" t="inlineStr">
        <is>
          <t>Berserk 1</t>
        </is>
      </c>
      <c r="L492" s="44" t="n"/>
      <c r="M492" s="44" t="inlineStr">
        <is>
          <t>—</t>
        </is>
      </c>
      <c r="N492" s="44" t="inlineStr">
        <is>
          <t>Other</t>
        </is>
      </c>
      <c r="O492" s="44" t="inlineStr">
        <is>
          <t>Any</t>
        </is>
      </c>
      <c r="P492" s="45" t="inlineStr">
        <is>
          <t>Test card (admin sandbox)</t>
        </is>
      </c>
      <c r="Q492" s="44" t="inlineStr">
        <is>
          <t>Not planned</t>
        </is>
      </c>
    </row>
    <row r="493" ht="15" customHeight="1" s="39">
      <c r="A493" s="44" t="inlineStr">
        <is>
          <t>Retired / not planned</t>
        </is>
      </c>
      <c r="B493" s="44" t="n"/>
      <c r="C493" s="44" t="inlineStr">
        <is>
          <t>Test: Bleed</t>
        </is>
      </c>
      <c r="D493" s="44" t="inlineStr">
        <is>
          <t>test-skill-bleed</t>
        </is>
      </c>
      <c r="E493" s="44" t="n"/>
      <c r="F493" s="44" t="inlineStr">
        <is>
          <t>—</t>
        </is>
      </c>
      <c r="G493" s="44" t="n">
        <v>0</v>
      </c>
      <c r="H493" s="44" t="n">
        <v>0</v>
      </c>
      <c r="I493" s="44" t="n">
        <v>3</v>
      </c>
      <c r="J493" s="44" t="n">
        <v>8</v>
      </c>
      <c r="K493" s="45" t="inlineStr">
        <is>
          <t>Bleed 3</t>
        </is>
      </c>
      <c r="L493" s="44" t="n"/>
      <c r="M493" s="44" t="inlineStr">
        <is>
          <t>—</t>
        </is>
      </c>
      <c r="N493" s="44" t="inlineStr">
        <is>
          <t>Other</t>
        </is>
      </c>
      <c r="O493" s="44" t="inlineStr">
        <is>
          <t>Any</t>
        </is>
      </c>
      <c r="P493" s="45" t="inlineStr">
        <is>
          <t>Test card (admin sandbox)</t>
        </is>
      </c>
      <c r="Q493" s="44" t="inlineStr">
        <is>
          <t>Not planned</t>
        </is>
      </c>
    </row>
    <row r="494" ht="15" customHeight="1" s="39">
      <c r="A494" s="44" t="inlineStr">
        <is>
          <t>Retired / not planned</t>
        </is>
      </c>
      <c r="B494" s="44" t="n"/>
      <c r="C494" s="44" t="inlineStr">
        <is>
          <t>Test: Blind</t>
        </is>
      </c>
      <c r="D494" s="44" t="inlineStr">
        <is>
          <t>test-skill-blind</t>
        </is>
      </c>
      <c r="E494" s="44" t="n"/>
      <c r="F494" s="44" t="inlineStr">
        <is>
          <t>—</t>
        </is>
      </c>
      <c r="G494" s="44" t="n">
        <v>0</v>
      </c>
      <c r="H494" s="44" t="n">
        <v>0</v>
      </c>
      <c r="I494" s="44" t="n">
        <v>3</v>
      </c>
      <c r="J494" s="44" t="n">
        <v>8</v>
      </c>
      <c r="K494" s="45" t="inlineStr">
        <is>
          <t>Blind (100%)</t>
        </is>
      </c>
      <c r="L494" s="44" t="n"/>
      <c r="M494" s="44" t="inlineStr">
        <is>
          <t>—</t>
        </is>
      </c>
      <c r="N494" s="44" t="inlineStr">
        <is>
          <t>Other</t>
        </is>
      </c>
      <c r="O494" s="44" t="inlineStr">
        <is>
          <t>Any</t>
        </is>
      </c>
      <c r="P494" s="45" t="inlineStr">
        <is>
          <t>Test card (admin sandbox)</t>
        </is>
      </c>
      <c r="Q494" s="44" t="inlineStr">
        <is>
          <t>Not planned</t>
        </is>
      </c>
    </row>
    <row r="495" ht="15" customHeight="1" s="39">
      <c r="A495" s="44" t="inlineStr">
        <is>
          <t>Retired / not planned</t>
        </is>
      </c>
      <c r="B495" s="44" t="n"/>
      <c r="C495" s="44" t="inlineStr">
        <is>
          <t>Test: Bloom</t>
        </is>
      </c>
      <c r="D495" s="44" t="inlineStr">
        <is>
          <t>test-skill-bloom</t>
        </is>
      </c>
      <c r="E495" s="44" t="n"/>
      <c r="F495" s="44" t="inlineStr">
        <is>
          <t>—</t>
        </is>
      </c>
      <c r="G495" s="44" t="n">
        <v>0</v>
      </c>
      <c r="H495" s="44" t="n">
        <v>0</v>
      </c>
      <c r="I495" s="44" t="n">
        <v>3</v>
      </c>
      <c r="J495" s="44" t="n">
        <v>8</v>
      </c>
      <c r="K495" s="45" t="inlineStr">
        <is>
          <t>Bloom 2</t>
        </is>
      </c>
      <c r="L495" s="44" t="n"/>
      <c r="M495" s="44" t="inlineStr">
        <is>
          <t>—</t>
        </is>
      </c>
      <c r="N495" s="44" t="inlineStr">
        <is>
          <t>Other</t>
        </is>
      </c>
      <c r="O495" s="44" t="inlineStr">
        <is>
          <t>Any</t>
        </is>
      </c>
      <c r="P495" s="45" t="inlineStr">
        <is>
          <t>Test card (admin sandbox)</t>
        </is>
      </c>
      <c r="Q495" s="44" t="inlineStr">
        <is>
          <t>Not planned</t>
        </is>
      </c>
    </row>
    <row r="496" ht="15" customHeight="1" s="39">
      <c r="A496" s="44" t="inlineStr">
        <is>
          <t>Retired / not planned</t>
        </is>
      </c>
      <c r="B496" s="44" t="n"/>
      <c r="C496" s="44" t="inlineStr">
        <is>
          <t>Test: Bulwark</t>
        </is>
      </c>
      <c r="D496" s="44" t="inlineStr">
        <is>
          <t>test-skill-bulwark</t>
        </is>
      </c>
      <c r="E496" s="44" t="n"/>
      <c r="F496" s="44" t="inlineStr">
        <is>
          <t>—</t>
        </is>
      </c>
      <c r="G496" s="44" t="n">
        <v>0</v>
      </c>
      <c r="H496" s="44" t="n">
        <v>0</v>
      </c>
      <c r="I496" s="44" t="n">
        <v>3</v>
      </c>
      <c r="J496" s="44" t="n">
        <v>8</v>
      </c>
      <c r="K496" s="45" t="inlineStr">
        <is>
          <t>Bulwark 2</t>
        </is>
      </c>
      <c r="L496" s="44" t="n"/>
      <c r="M496" s="44" t="inlineStr">
        <is>
          <t>—</t>
        </is>
      </c>
      <c r="N496" s="44" t="inlineStr">
        <is>
          <t>Other</t>
        </is>
      </c>
      <c r="O496" s="44" t="inlineStr">
        <is>
          <t>Any</t>
        </is>
      </c>
      <c r="P496" s="45" t="inlineStr">
        <is>
          <t>Test card (admin sandbox)</t>
        </is>
      </c>
      <c r="Q496" s="44" t="inlineStr">
        <is>
          <t>Not planned</t>
        </is>
      </c>
    </row>
    <row r="497" ht="15" customHeight="1" s="39">
      <c r="A497" s="44" t="inlineStr">
        <is>
          <t>Retired / not planned</t>
        </is>
      </c>
      <c r="B497" s="44" t="n"/>
      <c r="C497" s="44" t="inlineStr">
        <is>
          <t>Test: Chained</t>
        </is>
      </c>
      <c r="D497" s="44" t="inlineStr">
        <is>
          <t>test-skill-chained</t>
        </is>
      </c>
      <c r="E497" s="44" t="n"/>
      <c r="F497" s="44" t="inlineStr">
        <is>
          <t>—</t>
        </is>
      </c>
      <c r="G497" s="44" t="n">
        <v>0</v>
      </c>
      <c r="H497" s="44" t="n">
        <v>0</v>
      </c>
      <c r="I497" s="44" t="n">
        <v>3</v>
      </c>
      <c r="J497" s="44" t="n">
        <v>8</v>
      </c>
      <c r="K497" s="45" t="inlineStr">
        <is>
          <t>Chained 1</t>
        </is>
      </c>
      <c r="L497" s="44" t="n"/>
      <c r="M497" s="44" t="inlineStr">
        <is>
          <t>—</t>
        </is>
      </c>
      <c r="N497" s="44" t="inlineStr">
        <is>
          <t>Other</t>
        </is>
      </c>
      <c r="O497" s="44" t="inlineStr">
        <is>
          <t>Any</t>
        </is>
      </c>
      <c r="P497" s="45" t="inlineStr">
        <is>
          <t>Test card (admin sandbox)</t>
        </is>
      </c>
      <c r="Q497" s="44" t="inlineStr">
        <is>
          <t>Not planned</t>
        </is>
      </c>
    </row>
    <row r="498" ht="15" customHeight="1" s="39">
      <c r="A498" s="44" t="inlineStr">
        <is>
          <t>Retired / not planned</t>
        </is>
      </c>
      <c r="B498" s="44" t="n"/>
      <c r="C498" s="44" t="inlineStr">
        <is>
          <t>Test: Core Evil</t>
        </is>
      </c>
      <c r="D498" s="44" t="inlineStr">
        <is>
          <t>test-skill-core-evil</t>
        </is>
      </c>
      <c r="E498" s="44" t="n"/>
      <c r="F498" s="44" t="inlineStr">
        <is>
          <t>—</t>
        </is>
      </c>
      <c r="G498" s="44" t="n">
        <v>0</v>
      </c>
      <c r="H498" s="44" t="n">
        <v>0</v>
      </c>
      <c r="I498" s="44" t="n">
        <v>3</v>
      </c>
      <c r="J498" s="44" t="n">
        <v>8</v>
      </c>
      <c r="K498" s="45" t="inlineStr">
        <is>
          <t>Core Evil</t>
        </is>
      </c>
      <c r="L498" s="44" t="n"/>
      <c r="M498" s="44" t="inlineStr">
        <is>
          <t>—</t>
        </is>
      </c>
      <c r="N498" s="44" t="inlineStr">
        <is>
          <t>Other</t>
        </is>
      </c>
      <c r="O498" s="44" t="inlineStr">
        <is>
          <t>Any</t>
        </is>
      </c>
      <c r="P498" s="45" t="inlineStr">
        <is>
          <t>Test card (admin sandbox)</t>
        </is>
      </c>
      <c r="Q498" s="44" t="inlineStr">
        <is>
          <t>Not planned</t>
        </is>
      </c>
    </row>
    <row r="499" ht="15" customHeight="1" s="39">
      <c r="A499" s="44" t="inlineStr">
        <is>
          <t>Retired / not planned</t>
        </is>
      </c>
      <c r="B499" s="44" t="n"/>
      <c r="C499" s="44" t="inlineStr">
        <is>
          <t>Test: Corrode</t>
        </is>
      </c>
      <c r="D499" s="44" t="inlineStr">
        <is>
          <t>test-skill-corrode</t>
        </is>
      </c>
      <c r="E499" s="44" t="n"/>
      <c r="F499" s="44" t="inlineStr">
        <is>
          <t>—</t>
        </is>
      </c>
      <c r="G499" s="44" t="n">
        <v>0</v>
      </c>
      <c r="H499" s="44" t="n">
        <v>0</v>
      </c>
      <c r="I499" s="44" t="n">
        <v>3</v>
      </c>
      <c r="J499" s="44" t="n">
        <v>8</v>
      </c>
      <c r="K499" s="45" t="inlineStr">
        <is>
          <t>Corrode 3</t>
        </is>
      </c>
      <c r="L499" s="44" t="n"/>
      <c r="M499" s="44" t="inlineStr">
        <is>
          <t>—</t>
        </is>
      </c>
      <c r="N499" s="44" t="inlineStr">
        <is>
          <t>Other</t>
        </is>
      </c>
      <c r="O499" s="44" t="inlineStr">
        <is>
          <t>Any</t>
        </is>
      </c>
      <c r="P499" s="45" t="inlineStr">
        <is>
          <t>Test card (admin sandbox)</t>
        </is>
      </c>
      <c r="Q499" s="44" t="inlineStr">
        <is>
          <t>Not planned</t>
        </is>
      </c>
    </row>
    <row r="500" ht="15" customHeight="1" s="39">
      <c r="A500" s="44" t="inlineStr">
        <is>
          <t>Retired / not planned</t>
        </is>
      </c>
      <c r="B500" s="44" t="n"/>
      <c r="C500" s="44" t="inlineStr">
        <is>
          <t>Test: Crit</t>
        </is>
      </c>
      <c r="D500" s="44" t="inlineStr">
        <is>
          <t>test-skill-crit</t>
        </is>
      </c>
      <c r="E500" s="44" t="n"/>
      <c r="F500" s="44" t="inlineStr">
        <is>
          <t>—</t>
        </is>
      </c>
      <c r="G500" s="44" t="n">
        <v>0</v>
      </c>
      <c r="H500" s="44" t="n">
        <v>0</v>
      </c>
      <c r="I500" s="44" t="n">
        <v>3</v>
      </c>
      <c r="J500" s="44" t="n">
        <v>8</v>
      </c>
      <c r="K500" s="45" t="inlineStr">
        <is>
          <t>Crit</t>
        </is>
      </c>
      <c r="L500" s="44" t="n"/>
      <c r="M500" s="44" t="inlineStr">
        <is>
          <t>—</t>
        </is>
      </c>
      <c r="N500" s="44" t="inlineStr">
        <is>
          <t>Other</t>
        </is>
      </c>
      <c r="O500" s="44" t="inlineStr">
        <is>
          <t>Any</t>
        </is>
      </c>
      <c r="P500" s="45" t="inlineStr">
        <is>
          <t>Test card (admin sandbox)</t>
        </is>
      </c>
      <c r="Q500" s="44" t="inlineStr">
        <is>
          <t>Not planned</t>
        </is>
      </c>
    </row>
    <row r="501" ht="15" customHeight="1" s="39">
      <c r="A501" s="44" t="inlineStr">
        <is>
          <t>Retired / not planned</t>
        </is>
      </c>
      <c r="B501" s="44" t="n"/>
      <c r="C501" s="44" t="inlineStr">
        <is>
          <t>Test: Earthquake</t>
        </is>
      </c>
      <c r="D501" s="44" t="inlineStr">
        <is>
          <t>test-skill-earthquake</t>
        </is>
      </c>
      <c r="E501" s="44" t="n"/>
      <c r="F501" s="44" t="inlineStr">
        <is>
          <t>—</t>
        </is>
      </c>
      <c r="G501" s="44" t="n">
        <v>0</v>
      </c>
      <c r="H501" s="44" t="n">
        <v>0</v>
      </c>
      <c r="I501" s="44" t="n">
        <v>3</v>
      </c>
      <c r="J501" s="44" t="n">
        <v>8</v>
      </c>
      <c r="K501" s="45" t="inlineStr">
        <is>
          <t>Earthquake 5</t>
        </is>
      </c>
      <c r="L501" s="44" t="n"/>
      <c r="M501" s="44" t="inlineStr">
        <is>
          <t>—</t>
        </is>
      </c>
      <c r="N501" s="44" t="inlineStr">
        <is>
          <t>Other</t>
        </is>
      </c>
      <c r="O501" s="44" t="inlineStr">
        <is>
          <t>Any</t>
        </is>
      </c>
      <c r="P501" s="45" t="inlineStr">
        <is>
          <t>Test card (admin sandbox)</t>
        </is>
      </c>
      <c r="Q501" s="44" t="inlineStr">
        <is>
          <t>Not planned</t>
        </is>
      </c>
    </row>
    <row r="502" ht="15" customHeight="1" s="39">
      <c r="A502" s="44" t="inlineStr">
        <is>
          <t>Retired / not planned</t>
        </is>
      </c>
      <c r="B502" s="44" t="n"/>
      <c r="C502" s="44" t="inlineStr">
        <is>
          <t>Test: Esprit</t>
        </is>
      </c>
      <c r="D502" s="44" t="inlineStr">
        <is>
          <t>test-skill-esprit</t>
        </is>
      </c>
      <c r="E502" s="44" t="n"/>
      <c r="F502" s="44" t="inlineStr">
        <is>
          <t>—</t>
        </is>
      </c>
      <c r="G502" s="44" t="n">
        <v>0</v>
      </c>
      <c r="H502" s="44" t="n">
        <v>0</v>
      </c>
      <c r="I502" s="44" t="n">
        <v>3</v>
      </c>
      <c r="J502" s="44" t="n">
        <v>8</v>
      </c>
      <c r="K502" s="45" t="inlineStr">
        <is>
          <t>Esprit 1</t>
        </is>
      </c>
      <c r="L502" s="44" t="n"/>
      <c r="M502" s="44" t="inlineStr">
        <is>
          <t>—</t>
        </is>
      </c>
      <c r="N502" s="44" t="inlineStr">
        <is>
          <t>Other</t>
        </is>
      </c>
      <c r="O502" s="44" t="inlineStr">
        <is>
          <t>Any</t>
        </is>
      </c>
      <c r="P502" s="45" t="inlineStr">
        <is>
          <t>Test card (admin sandbox)</t>
        </is>
      </c>
      <c r="Q502" s="44" t="inlineStr">
        <is>
          <t>Not planned</t>
        </is>
      </c>
    </row>
    <row r="503" ht="15" customHeight="1" s="39">
      <c r="A503" s="44" t="inlineStr">
        <is>
          <t>Retired / not planned</t>
        </is>
      </c>
      <c r="B503" s="44" t="n"/>
      <c r="C503" s="44" t="inlineStr">
        <is>
          <t>Test: Evasive</t>
        </is>
      </c>
      <c r="D503" s="44" t="inlineStr">
        <is>
          <t>test-skill-evasive</t>
        </is>
      </c>
      <c r="E503" s="44" t="n"/>
      <c r="F503" s="44" t="inlineStr">
        <is>
          <t>—</t>
        </is>
      </c>
      <c r="G503" s="44" t="n">
        <v>0</v>
      </c>
      <c r="H503" s="44" t="n">
        <v>0</v>
      </c>
      <c r="I503" s="44" t="n">
        <v>3</v>
      </c>
      <c r="J503" s="44" t="n">
        <v>8</v>
      </c>
      <c r="K503" s="45" t="inlineStr">
        <is>
          <t>Evasive</t>
        </is>
      </c>
      <c r="L503" s="44" t="n"/>
      <c r="M503" s="44" t="inlineStr">
        <is>
          <t>—</t>
        </is>
      </c>
      <c r="N503" s="44" t="inlineStr">
        <is>
          <t>Other</t>
        </is>
      </c>
      <c r="O503" s="44" t="inlineStr">
        <is>
          <t>Any</t>
        </is>
      </c>
      <c r="P503" s="45" t="inlineStr">
        <is>
          <t>Test card (admin sandbox)</t>
        </is>
      </c>
      <c r="Q503" s="44" t="inlineStr">
        <is>
          <t>Not planned</t>
        </is>
      </c>
    </row>
    <row r="504" ht="15" customHeight="1" s="39">
      <c r="A504" s="44" t="inlineStr">
        <is>
          <t>Retired / not planned</t>
        </is>
      </c>
      <c r="B504" s="44" t="n"/>
      <c r="C504" s="44" t="inlineStr">
        <is>
          <t>Test: Explode</t>
        </is>
      </c>
      <c r="D504" s="44" t="inlineStr">
        <is>
          <t>test-skill-explode</t>
        </is>
      </c>
      <c r="E504" s="44" t="n"/>
      <c r="F504" s="44" t="inlineStr">
        <is>
          <t>—</t>
        </is>
      </c>
      <c r="G504" s="44" t="n">
        <v>0</v>
      </c>
      <c r="H504" s="44" t="n">
        <v>0</v>
      </c>
      <c r="I504" s="44" t="n">
        <v>3</v>
      </c>
      <c r="J504" s="44" t="n">
        <v>8</v>
      </c>
      <c r="K504" s="45" t="inlineStr">
        <is>
          <t>Explode 6</t>
        </is>
      </c>
      <c r="L504" s="44" t="n"/>
      <c r="M504" s="44" t="inlineStr">
        <is>
          <t>—</t>
        </is>
      </c>
      <c r="N504" s="44" t="inlineStr">
        <is>
          <t>Other</t>
        </is>
      </c>
      <c r="O504" s="44" t="inlineStr">
        <is>
          <t>Any</t>
        </is>
      </c>
      <c r="P504" s="45" t="inlineStr">
        <is>
          <t>Test card (admin sandbox)</t>
        </is>
      </c>
      <c r="Q504" s="44" t="inlineStr">
        <is>
          <t>Not planned</t>
        </is>
      </c>
    </row>
    <row r="505" ht="15" customHeight="1" s="39">
      <c r="A505" s="44" t="inlineStr">
        <is>
          <t>Retired / not planned</t>
        </is>
      </c>
      <c r="B505" s="44" t="n"/>
      <c r="C505" s="44" t="inlineStr">
        <is>
          <t>Test: Expose</t>
        </is>
      </c>
      <c r="D505" s="44" t="inlineStr">
        <is>
          <t>test-skill-expose</t>
        </is>
      </c>
      <c r="E505" s="44" t="n"/>
      <c r="F505" s="44" t="inlineStr">
        <is>
          <t>—</t>
        </is>
      </c>
      <c r="G505" s="44" t="n">
        <v>0</v>
      </c>
      <c r="H505" s="44" t="n">
        <v>0</v>
      </c>
      <c r="I505" s="44" t="n">
        <v>3</v>
      </c>
      <c r="J505" s="44" t="n">
        <v>8</v>
      </c>
      <c r="K505" s="45" t="inlineStr">
        <is>
          <t>Expose 3</t>
        </is>
      </c>
      <c r="L505" s="44" t="n"/>
      <c r="M505" s="44" t="inlineStr">
        <is>
          <t>—</t>
        </is>
      </c>
      <c r="N505" s="44" t="inlineStr">
        <is>
          <t>Other</t>
        </is>
      </c>
      <c r="O505" s="44" t="inlineStr">
        <is>
          <t>Any</t>
        </is>
      </c>
      <c r="P505" s="45" t="inlineStr">
        <is>
          <t>Test card (admin sandbox)</t>
        </is>
      </c>
      <c r="Q505" s="44" t="inlineStr">
        <is>
          <t>Not planned</t>
        </is>
      </c>
    </row>
    <row r="506" ht="15" customHeight="1" s="39">
      <c r="A506" s="44" t="inlineStr">
        <is>
          <t>Retired / not planned</t>
        </is>
      </c>
      <c r="B506" s="44" t="n"/>
      <c r="C506" s="44" t="inlineStr">
        <is>
          <t>Test: Fester</t>
        </is>
      </c>
      <c r="D506" s="44" t="inlineStr">
        <is>
          <t>test-skill-fester</t>
        </is>
      </c>
      <c r="E506" s="44" t="n"/>
      <c r="F506" s="44" t="inlineStr">
        <is>
          <t>—</t>
        </is>
      </c>
      <c r="G506" s="44" t="n">
        <v>0</v>
      </c>
      <c r="H506" s="44" t="n">
        <v>0</v>
      </c>
      <c r="I506" s="44" t="n">
        <v>3</v>
      </c>
      <c r="J506" s="44" t="n">
        <v>8</v>
      </c>
      <c r="K506" s="45" t="inlineStr">
        <is>
          <t>Fester</t>
        </is>
      </c>
      <c r="L506" s="44" t="n"/>
      <c r="M506" s="44" t="inlineStr">
        <is>
          <t>—</t>
        </is>
      </c>
      <c r="N506" s="44" t="inlineStr">
        <is>
          <t>Other</t>
        </is>
      </c>
      <c r="O506" s="44" t="inlineStr">
        <is>
          <t>Any</t>
        </is>
      </c>
      <c r="P506" s="45" t="inlineStr">
        <is>
          <t>Test card (admin sandbox)</t>
        </is>
      </c>
      <c r="Q506" s="44" t="inlineStr">
        <is>
          <t>Not planned</t>
        </is>
      </c>
    </row>
    <row r="507" ht="15" customHeight="1" s="39">
      <c r="A507" s="44" t="inlineStr">
        <is>
          <t>Retired / not planned</t>
        </is>
      </c>
      <c r="B507" s="44" t="n"/>
      <c r="C507" s="44" t="inlineStr">
        <is>
          <t>Test: Flying</t>
        </is>
      </c>
      <c r="D507" s="44" t="inlineStr">
        <is>
          <t>test-skill-flying</t>
        </is>
      </c>
      <c r="E507" s="44" t="n"/>
      <c r="F507" s="44" t="inlineStr">
        <is>
          <t>—</t>
        </is>
      </c>
      <c r="G507" s="44" t="n">
        <v>0</v>
      </c>
      <c r="H507" s="44" t="n">
        <v>0</v>
      </c>
      <c r="I507" s="44" t="n">
        <v>3</v>
      </c>
      <c r="J507" s="44" t="n">
        <v>8</v>
      </c>
      <c r="K507" s="45" t="inlineStr">
        <is>
          <t>Flying</t>
        </is>
      </c>
      <c r="L507" s="44" t="n"/>
      <c r="M507" s="44" t="inlineStr">
        <is>
          <t>—</t>
        </is>
      </c>
      <c r="N507" s="44" t="inlineStr">
        <is>
          <t>Other</t>
        </is>
      </c>
      <c r="O507" s="44" t="inlineStr">
        <is>
          <t>Any</t>
        </is>
      </c>
      <c r="P507" s="45" t="inlineStr">
        <is>
          <t>Test card (admin sandbox)</t>
        </is>
      </c>
      <c r="Q507" s="44" t="inlineStr">
        <is>
          <t>Not planned</t>
        </is>
      </c>
    </row>
    <row r="508" ht="15" customHeight="1" s="39">
      <c r="A508" s="44" t="inlineStr">
        <is>
          <t>Retired / not planned</t>
        </is>
      </c>
      <c r="B508" s="44" t="n"/>
      <c r="C508" s="44" t="inlineStr">
        <is>
          <t>Test: Fork</t>
        </is>
      </c>
      <c r="D508" s="44" t="inlineStr">
        <is>
          <t>test-skill-swipe</t>
        </is>
      </c>
      <c r="E508" s="44" t="n"/>
      <c r="F508" s="44" t="inlineStr">
        <is>
          <t>—</t>
        </is>
      </c>
      <c r="G508" s="44" t="n">
        <v>0</v>
      </c>
      <c r="H508" s="44" t="n">
        <v>0</v>
      </c>
      <c r="I508" s="44" t="n">
        <v>3</v>
      </c>
      <c r="J508" s="44" t="n">
        <v>8</v>
      </c>
      <c r="K508" s="45" t="inlineStr">
        <is>
          <t>Fork</t>
        </is>
      </c>
      <c r="L508" s="44" t="n"/>
      <c r="M508" s="44" t="inlineStr">
        <is>
          <t>—</t>
        </is>
      </c>
      <c r="N508" s="44" t="inlineStr">
        <is>
          <t>Other</t>
        </is>
      </c>
      <c r="O508" s="44" t="inlineStr">
        <is>
          <t>Any</t>
        </is>
      </c>
      <c r="P508" s="45" t="inlineStr">
        <is>
          <t>Test card (admin sandbox)</t>
        </is>
      </c>
      <c r="Q508" s="44" t="inlineStr">
        <is>
          <t>Not planned</t>
        </is>
      </c>
    </row>
    <row r="509" ht="15" customHeight="1" s="39">
      <c r="A509" s="44" t="inlineStr">
        <is>
          <t>Retired / not planned</t>
        </is>
      </c>
      <c r="B509" s="44" t="n"/>
      <c r="C509" s="44" t="inlineStr">
        <is>
          <t>Test: Freeze</t>
        </is>
      </c>
      <c r="D509" s="44" t="inlineStr">
        <is>
          <t>test-skill-freeze</t>
        </is>
      </c>
      <c r="E509" s="44" t="n"/>
      <c r="F509" s="44" t="inlineStr">
        <is>
          <t>—</t>
        </is>
      </c>
      <c r="G509" s="44" t="n">
        <v>0</v>
      </c>
      <c r="H509" s="44" t="n">
        <v>0</v>
      </c>
      <c r="I509" s="44" t="n">
        <v>3</v>
      </c>
      <c r="J509" s="44" t="n">
        <v>8</v>
      </c>
      <c r="K509" s="45" t="inlineStr">
        <is>
          <t>Freeze (100%)</t>
        </is>
      </c>
      <c r="L509" s="44" t="n"/>
      <c r="M509" s="44" t="inlineStr">
        <is>
          <t>—</t>
        </is>
      </c>
      <c r="N509" s="44" t="inlineStr">
        <is>
          <t>Other</t>
        </is>
      </c>
      <c r="O509" s="44" t="inlineStr">
        <is>
          <t>Any</t>
        </is>
      </c>
      <c r="P509" s="45" t="inlineStr">
        <is>
          <t>Test card (admin sandbox)</t>
        </is>
      </c>
      <c r="Q509" s="44" t="inlineStr">
        <is>
          <t>Not planned</t>
        </is>
      </c>
    </row>
    <row r="510" ht="15" customHeight="1" s="39">
      <c r="A510" s="44" t="inlineStr">
        <is>
          <t>Retired / not planned</t>
        </is>
      </c>
      <c r="B510" s="44" t="n"/>
      <c r="C510" s="44" t="inlineStr">
        <is>
          <t>Test: Frenzy</t>
        </is>
      </c>
      <c r="D510" s="44" t="inlineStr">
        <is>
          <t>test-skill-frenzy</t>
        </is>
      </c>
      <c r="E510" s="44" t="n"/>
      <c r="F510" s="44" t="inlineStr">
        <is>
          <t>—</t>
        </is>
      </c>
      <c r="G510" s="44" t="n">
        <v>0</v>
      </c>
      <c r="H510" s="44" t="n">
        <v>0</v>
      </c>
      <c r="I510" s="44" t="n">
        <v>3</v>
      </c>
      <c r="J510" s="44" t="n">
        <v>8</v>
      </c>
      <c r="K510" s="45" t="inlineStr">
        <is>
          <t>Frenzy</t>
        </is>
      </c>
      <c r="L510" s="44" t="n"/>
      <c r="M510" s="44" t="inlineStr">
        <is>
          <t>—</t>
        </is>
      </c>
      <c r="N510" s="44" t="inlineStr">
        <is>
          <t>Other</t>
        </is>
      </c>
      <c r="O510" s="44" t="inlineStr">
        <is>
          <t>Any</t>
        </is>
      </c>
      <c r="P510" s="45" t="inlineStr">
        <is>
          <t>Test card (admin sandbox)</t>
        </is>
      </c>
      <c r="Q510" s="44" t="inlineStr">
        <is>
          <t>Not planned</t>
        </is>
      </c>
    </row>
    <row r="511" ht="15" customHeight="1" s="39">
      <c r="A511" s="44" t="inlineStr">
        <is>
          <t>Retired / not planned</t>
        </is>
      </c>
      <c r="B511" s="44" t="n"/>
      <c r="C511" s="44" t="inlineStr">
        <is>
          <t>Test: Gash</t>
        </is>
      </c>
      <c r="D511" s="44" t="inlineStr">
        <is>
          <t>test-skill-gash</t>
        </is>
      </c>
      <c r="E511" s="44" t="n"/>
      <c r="F511" s="44" t="inlineStr">
        <is>
          <t>—</t>
        </is>
      </c>
      <c r="G511" s="44" t="n">
        <v>0</v>
      </c>
      <c r="H511" s="44" t="n">
        <v>0</v>
      </c>
      <c r="I511" s="44" t="n">
        <v>3</v>
      </c>
      <c r="J511" s="44" t="n">
        <v>8</v>
      </c>
      <c r="K511" s="45" t="inlineStr">
        <is>
          <t>Gash 3</t>
        </is>
      </c>
      <c r="L511" s="44" t="n"/>
      <c r="M511" s="44" t="inlineStr">
        <is>
          <t>—</t>
        </is>
      </c>
      <c r="N511" s="44" t="inlineStr">
        <is>
          <t>Other</t>
        </is>
      </c>
      <c r="O511" s="44" t="inlineStr">
        <is>
          <t>Any</t>
        </is>
      </c>
      <c r="P511" s="45" t="inlineStr">
        <is>
          <t>Test card (admin sandbox)</t>
        </is>
      </c>
      <c r="Q511" s="44" t="inlineStr">
        <is>
          <t>Not planned</t>
        </is>
      </c>
    </row>
    <row r="512" ht="15" customHeight="1" s="39">
      <c r="A512" s="44" t="inlineStr">
        <is>
          <t>Retired / not planned</t>
        </is>
      </c>
      <c r="B512" s="44" t="n"/>
      <c r="C512" s="44" t="inlineStr">
        <is>
          <t>Test: Guardian</t>
        </is>
      </c>
      <c r="D512" s="44" t="inlineStr">
        <is>
          <t>test-skill-guardian</t>
        </is>
      </c>
      <c r="E512" s="44" t="n"/>
      <c r="F512" s="44" t="inlineStr">
        <is>
          <t>—</t>
        </is>
      </c>
      <c r="G512" s="44" t="n">
        <v>0</v>
      </c>
      <c r="H512" s="44" t="n">
        <v>0</v>
      </c>
      <c r="I512" s="44" t="n">
        <v>3</v>
      </c>
      <c r="J512" s="44" t="n">
        <v>8</v>
      </c>
      <c r="K512" s="45" t="inlineStr">
        <is>
          <t>Guardian</t>
        </is>
      </c>
      <c r="L512" s="44" t="n"/>
      <c r="M512" s="44" t="inlineStr">
        <is>
          <t>—</t>
        </is>
      </c>
      <c r="N512" s="44" t="inlineStr">
        <is>
          <t>Other</t>
        </is>
      </c>
      <c r="O512" s="44" t="inlineStr">
        <is>
          <t>Any</t>
        </is>
      </c>
      <c r="P512" s="45" t="inlineStr">
        <is>
          <t>Test card (admin sandbox)</t>
        </is>
      </c>
      <c r="Q512" s="44" t="inlineStr">
        <is>
          <t>Not planned</t>
        </is>
      </c>
    </row>
    <row r="513" ht="15" customHeight="1" s="39">
      <c r="A513" s="44" t="inlineStr">
        <is>
          <t>Retired / not planned</t>
        </is>
      </c>
      <c r="B513" s="44" t="n"/>
      <c r="C513" s="44" t="inlineStr">
        <is>
          <t>Test: Inherent Darkness</t>
        </is>
      </c>
      <c r="D513" s="44" t="inlineStr">
        <is>
          <t>test-skill-inherent-darkness</t>
        </is>
      </c>
      <c r="E513" s="44" t="n"/>
      <c r="F513" s="44" t="inlineStr">
        <is>
          <t>—</t>
        </is>
      </c>
      <c r="G513" s="44" t="n">
        <v>0</v>
      </c>
      <c r="H513" s="44" t="n">
        <v>0</v>
      </c>
      <c r="I513" s="44" t="n">
        <v>3</v>
      </c>
      <c r="J513" s="44" t="n">
        <v>8</v>
      </c>
      <c r="K513" s="45" t="inlineStr">
        <is>
          <t>Inherent Darkness 1</t>
        </is>
      </c>
      <c r="L513" s="44" t="n"/>
      <c r="M513" s="44" t="inlineStr">
        <is>
          <t>—</t>
        </is>
      </c>
      <c r="N513" s="44" t="inlineStr">
        <is>
          <t>Other</t>
        </is>
      </c>
      <c r="O513" s="44" t="inlineStr">
        <is>
          <t>Any</t>
        </is>
      </c>
      <c r="P513" s="45" t="inlineStr">
        <is>
          <t>Test card (admin sandbox)</t>
        </is>
      </c>
      <c r="Q513" s="44" t="inlineStr">
        <is>
          <t>Not planned</t>
        </is>
      </c>
    </row>
    <row r="514" ht="15" customHeight="1" s="39">
      <c r="A514" s="44" t="inlineStr">
        <is>
          <t>Retired / not planned</t>
        </is>
      </c>
      <c r="B514" s="44" t="n"/>
      <c r="C514" s="44" t="inlineStr">
        <is>
          <t>Test: King Slayer</t>
        </is>
      </c>
      <c r="D514" s="44" t="inlineStr">
        <is>
          <t>test-skill-king-slayer</t>
        </is>
      </c>
      <c r="E514" s="44" t="n"/>
      <c r="F514" s="44" t="inlineStr">
        <is>
          <t>—</t>
        </is>
      </c>
      <c r="G514" s="44" t="n">
        <v>0</v>
      </c>
      <c r="H514" s="44" t="n">
        <v>0</v>
      </c>
      <c r="I514" s="44" t="n">
        <v>3</v>
      </c>
      <c r="J514" s="44" t="n">
        <v>8</v>
      </c>
      <c r="K514" s="45" t="inlineStr">
        <is>
          <t>King Slayer 5</t>
        </is>
      </c>
      <c r="L514" s="44" t="n"/>
      <c r="M514" s="44" t="inlineStr">
        <is>
          <t>—</t>
        </is>
      </c>
      <c r="N514" s="44" t="inlineStr">
        <is>
          <t>Other</t>
        </is>
      </c>
      <c r="O514" s="44" t="inlineStr">
        <is>
          <t>Any</t>
        </is>
      </c>
      <c r="P514" s="45" t="inlineStr">
        <is>
          <t>Test card (admin sandbox)</t>
        </is>
      </c>
      <c r="Q514" s="44" t="inlineStr">
        <is>
          <t>Not planned</t>
        </is>
      </c>
    </row>
    <row r="515" ht="15" customHeight="1" s="39">
      <c r="A515" s="44" t="inlineStr">
        <is>
          <t>Retired / not planned</t>
        </is>
      </c>
      <c r="B515" s="44" t="n"/>
      <c r="C515" s="44" t="inlineStr">
        <is>
          <t>Test: Momentum</t>
        </is>
      </c>
      <c r="D515" s="44" t="inlineStr">
        <is>
          <t>test-skill-momentum</t>
        </is>
      </c>
      <c r="E515" s="44" t="n"/>
      <c r="F515" s="44" t="inlineStr">
        <is>
          <t>—</t>
        </is>
      </c>
      <c r="G515" s="44" t="n">
        <v>0</v>
      </c>
      <c r="H515" s="44" t="n">
        <v>0</v>
      </c>
      <c r="I515" s="44" t="n">
        <v>3</v>
      </c>
      <c r="J515" s="44" t="n">
        <v>8</v>
      </c>
      <c r="K515" s="45" t="inlineStr">
        <is>
          <t>Momentum 1</t>
        </is>
      </c>
      <c r="L515" s="44" t="n"/>
      <c r="M515" s="44" t="inlineStr">
        <is>
          <t>—</t>
        </is>
      </c>
      <c r="N515" s="44" t="inlineStr">
        <is>
          <t>Other</t>
        </is>
      </c>
      <c r="O515" s="44" t="inlineStr">
        <is>
          <t>Any</t>
        </is>
      </c>
      <c r="P515" s="45" t="inlineStr">
        <is>
          <t>Test card (admin sandbox)</t>
        </is>
      </c>
      <c r="Q515" s="44" t="inlineStr">
        <is>
          <t>Not planned</t>
        </is>
      </c>
    </row>
    <row r="516" ht="15" customHeight="1" s="39">
      <c r="A516" s="44" t="inlineStr">
        <is>
          <t>Retired / not planned</t>
        </is>
      </c>
      <c r="B516" s="44" t="n"/>
      <c r="C516" s="44" t="inlineStr">
        <is>
          <t>Test: On Death: Spawn</t>
        </is>
      </c>
      <c r="D516" s="44" t="inlineStr">
        <is>
          <t>test-skill-on-death-spawn</t>
        </is>
      </c>
      <c r="E516" s="44" t="n"/>
      <c r="F516" s="44" t="inlineStr">
        <is>
          <t>—</t>
        </is>
      </c>
      <c r="G516" s="44" t="n">
        <v>0</v>
      </c>
      <c r="H516" s="44" t="n">
        <v>0</v>
      </c>
      <c r="I516" s="44" t="n">
        <v>3</v>
      </c>
      <c r="J516" s="44" t="n">
        <v>8</v>
      </c>
      <c r="K516" s="45" t="inlineStr">
        <is>
          <t>Progeny (1× test-training-dummy)</t>
        </is>
      </c>
      <c r="L516" s="44" t="n"/>
      <c r="M516" s="44" t="inlineStr">
        <is>
          <t>—</t>
        </is>
      </c>
      <c r="N516" s="44" t="inlineStr">
        <is>
          <t>Other</t>
        </is>
      </c>
      <c r="O516" s="44" t="inlineStr">
        <is>
          <t>Any</t>
        </is>
      </c>
      <c r="P516" s="45" t="inlineStr">
        <is>
          <t>Test card (admin sandbox)</t>
        </is>
      </c>
      <c r="Q516" s="44" t="inlineStr">
        <is>
          <t>Not planned</t>
        </is>
      </c>
    </row>
    <row r="517" ht="15" customHeight="1" s="39">
      <c r="A517" s="44" t="inlineStr">
        <is>
          <t>Retired / not planned</t>
        </is>
      </c>
      <c r="B517" s="44" t="n"/>
      <c r="C517" s="44" t="inlineStr">
        <is>
          <t>Test: Overwhelm</t>
        </is>
      </c>
      <c r="D517" s="44" t="inlineStr">
        <is>
          <t>test-skill-overwhelm</t>
        </is>
      </c>
      <c r="E517" s="44" t="n"/>
      <c r="F517" s="44" t="inlineStr">
        <is>
          <t>—</t>
        </is>
      </c>
      <c r="G517" s="44" t="n">
        <v>0</v>
      </c>
      <c r="H517" s="44" t="n">
        <v>0</v>
      </c>
      <c r="I517" s="44" t="n">
        <v>3</v>
      </c>
      <c r="J517" s="44" t="n">
        <v>8</v>
      </c>
      <c r="K517" s="45" t="inlineStr">
        <is>
          <t>Stampede</t>
        </is>
      </c>
      <c r="L517" s="44" t="n"/>
      <c r="M517" s="44" t="inlineStr">
        <is>
          <t>—</t>
        </is>
      </c>
      <c r="N517" s="44" t="inlineStr">
        <is>
          <t>Other</t>
        </is>
      </c>
      <c r="O517" s="44" t="inlineStr">
        <is>
          <t>Any</t>
        </is>
      </c>
      <c r="P517" s="45" t="inlineStr">
        <is>
          <t>Test card (admin sandbox)</t>
        </is>
      </c>
      <c r="Q517" s="44" t="inlineStr">
        <is>
          <t>Not planned</t>
        </is>
      </c>
    </row>
    <row r="518" ht="15" customHeight="1" s="39">
      <c r="A518" s="44" t="inlineStr">
        <is>
          <t>Retired / not planned</t>
        </is>
      </c>
      <c r="B518" s="44" t="n"/>
      <c r="C518" s="44" t="inlineStr">
        <is>
          <t>Test: Paralyze</t>
        </is>
      </c>
      <c r="D518" s="44" t="inlineStr">
        <is>
          <t>test-skill-paralyze</t>
        </is>
      </c>
      <c r="E518" s="44" t="n"/>
      <c r="F518" s="44" t="inlineStr">
        <is>
          <t>—</t>
        </is>
      </c>
      <c r="G518" s="44" t="n">
        <v>0</v>
      </c>
      <c r="H518" s="44" t="n">
        <v>0</v>
      </c>
      <c r="I518" s="44" t="n">
        <v>3</v>
      </c>
      <c r="J518" s="44" t="n">
        <v>8</v>
      </c>
      <c r="K518" s="45" t="inlineStr">
        <is>
          <t>Paralyze (100%)</t>
        </is>
      </c>
      <c r="L518" s="44" t="n"/>
      <c r="M518" s="44" t="inlineStr">
        <is>
          <t>—</t>
        </is>
      </c>
      <c r="N518" s="44" t="inlineStr">
        <is>
          <t>Other</t>
        </is>
      </c>
      <c r="O518" s="44" t="inlineStr">
        <is>
          <t>Any</t>
        </is>
      </c>
      <c r="P518" s="45" t="inlineStr">
        <is>
          <t>Test card (admin sandbox)</t>
        </is>
      </c>
      <c r="Q518" s="44" t="inlineStr">
        <is>
          <t>Not planned</t>
        </is>
      </c>
    </row>
    <row r="519" ht="15" customHeight="1" s="39">
      <c r="A519" s="44" t="inlineStr">
        <is>
          <t>Retired / not planned</t>
        </is>
      </c>
      <c r="B519" s="44" t="n"/>
      <c r="C519" s="44" t="inlineStr">
        <is>
          <t>Test: Pierce</t>
        </is>
      </c>
      <c r="D519" s="44" t="inlineStr">
        <is>
          <t>test-skill-rend</t>
        </is>
      </c>
      <c r="E519" s="44" t="n"/>
      <c r="F519" s="44" t="inlineStr">
        <is>
          <t>—</t>
        </is>
      </c>
      <c r="G519" s="44" t="n">
        <v>0</v>
      </c>
      <c r="H519" s="44" t="n">
        <v>0</v>
      </c>
      <c r="I519" s="44" t="n">
        <v>3</v>
      </c>
      <c r="J519" s="44" t="n">
        <v>8</v>
      </c>
      <c r="K519" s="45" t="inlineStr">
        <is>
          <t>Pierce 5</t>
        </is>
      </c>
      <c r="L519" s="44" t="n"/>
      <c r="M519" s="44" t="inlineStr">
        <is>
          <t>—</t>
        </is>
      </c>
      <c r="N519" s="44" t="inlineStr">
        <is>
          <t>Other</t>
        </is>
      </c>
      <c r="O519" s="44" t="inlineStr">
        <is>
          <t>Any</t>
        </is>
      </c>
      <c r="P519" s="45" t="inlineStr">
        <is>
          <t>Test card (admin sandbox)</t>
        </is>
      </c>
      <c r="Q519" s="44" t="inlineStr">
        <is>
          <t>Not planned</t>
        </is>
      </c>
    </row>
    <row r="520" ht="15" customHeight="1" s="39">
      <c r="A520" s="44" t="inlineStr">
        <is>
          <t>Retired / not planned</t>
        </is>
      </c>
      <c r="B520" s="44" t="n"/>
      <c r="C520" s="44" t="inlineStr">
        <is>
          <t>Test: Poison</t>
        </is>
      </c>
      <c r="D520" s="44" t="inlineStr">
        <is>
          <t>test-skill-poison</t>
        </is>
      </c>
      <c r="E520" s="44" t="n"/>
      <c r="F520" s="44" t="inlineStr">
        <is>
          <t>—</t>
        </is>
      </c>
      <c r="G520" s="44" t="n">
        <v>0</v>
      </c>
      <c r="H520" s="44" t="n">
        <v>0</v>
      </c>
      <c r="I520" s="44" t="n">
        <v>3</v>
      </c>
      <c r="J520" s="44" t="n">
        <v>8</v>
      </c>
      <c r="K520" s="45" t="inlineStr">
        <is>
          <t>Poison 3</t>
        </is>
      </c>
      <c r="L520" s="44" t="n"/>
      <c r="M520" s="44" t="inlineStr">
        <is>
          <t>—</t>
        </is>
      </c>
      <c r="N520" s="44" t="inlineStr">
        <is>
          <t>Other</t>
        </is>
      </c>
      <c r="O520" s="44" t="inlineStr">
        <is>
          <t>Any</t>
        </is>
      </c>
      <c r="P520" s="45" t="inlineStr">
        <is>
          <t>Test card (admin sandbox)</t>
        </is>
      </c>
      <c r="Q520" s="44" t="inlineStr">
        <is>
          <t>Not planned</t>
        </is>
      </c>
    </row>
    <row r="521" ht="15" customHeight="1" s="39">
      <c r="A521" s="44" t="inlineStr">
        <is>
          <t>Retired / not planned</t>
        </is>
      </c>
      <c r="B521" s="44" t="n"/>
      <c r="C521" s="44" t="inlineStr">
        <is>
          <t>Test: Puncture</t>
        </is>
      </c>
      <c r="D521" s="44" t="inlineStr">
        <is>
          <t>test-skill-pierce</t>
        </is>
      </c>
      <c r="E521" s="44" t="n"/>
      <c r="F521" s="44" t="inlineStr">
        <is>
          <t>—</t>
        </is>
      </c>
      <c r="G521" s="44" t="n">
        <v>0</v>
      </c>
      <c r="H521" s="44" t="n">
        <v>0</v>
      </c>
      <c r="I521" s="44" t="n">
        <v>3</v>
      </c>
      <c r="J521" s="44" t="n">
        <v>8</v>
      </c>
      <c r="K521" s="45" t="inlineStr">
        <is>
          <t>Puncture 2</t>
        </is>
      </c>
      <c r="L521" s="44" t="n"/>
      <c r="M521" s="44" t="inlineStr">
        <is>
          <t>—</t>
        </is>
      </c>
      <c r="N521" s="44" t="inlineStr">
        <is>
          <t>Other</t>
        </is>
      </c>
      <c r="O521" s="44" t="inlineStr">
        <is>
          <t>Any</t>
        </is>
      </c>
      <c r="P521" s="45" t="inlineStr">
        <is>
          <t>Test card (admin sandbox)</t>
        </is>
      </c>
      <c r="Q521" s="44" t="inlineStr">
        <is>
          <t>Not planned</t>
        </is>
      </c>
    </row>
    <row r="522" ht="15" customHeight="1" s="39">
      <c r="A522" s="44" t="inlineStr">
        <is>
          <t>Retired / not planned</t>
        </is>
      </c>
      <c r="B522" s="44" t="n"/>
      <c r="C522" s="44" t="inlineStr">
        <is>
          <t>Test: Quick</t>
        </is>
      </c>
      <c r="D522" s="44" t="inlineStr">
        <is>
          <t>test-skill-quick</t>
        </is>
      </c>
      <c r="E522" s="44" t="n"/>
      <c r="F522" s="44" t="inlineStr">
        <is>
          <t>—</t>
        </is>
      </c>
      <c r="G522" s="44" t="n">
        <v>0</v>
      </c>
      <c r="H522" s="44" t="n">
        <v>0</v>
      </c>
      <c r="I522" s="44" t="n">
        <v>3</v>
      </c>
      <c r="J522" s="44" t="n">
        <v>8</v>
      </c>
      <c r="K522" s="45" t="inlineStr">
        <is>
          <t>Quick</t>
        </is>
      </c>
      <c r="L522" s="44" t="n"/>
      <c r="M522" s="44" t="inlineStr">
        <is>
          <t>—</t>
        </is>
      </c>
      <c r="N522" s="44" t="inlineStr">
        <is>
          <t>Other</t>
        </is>
      </c>
      <c r="O522" s="44" t="inlineStr">
        <is>
          <t>Any</t>
        </is>
      </c>
      <c r="P522" s="45" t="inlineStr">
        <is>
          <t>Test card (admin sandbox)</t>
        </is>
      </c>
      <c r="Q522" s="44" t="inlineStr">
        <is>
          <t>Not planned</t>
        </is>
      </c>
    </row>
    <row r="523" ht="15" customHeight="1" s="39">
      <c r="A523" s="44" t="inlineStr">
        <is>
          <t>Retired / not planned</t>
        </is>
      </c>
      <c r="B523" s="44" t="n"/>
      <c r="C523" s="44" t="inlineStr">
        <is>
          <t>Test: Rage</t>
        </is>
      </c>
      <c r="D523" s="44" t="inlineStr">
        <is>
          <t>test-skill-rage</t>
        </is>
      </c>
      <c r="E523" s="44" t="n"/>
      <c r="F523" s="44" t="inlineStr">
        <is>
          <t>—</t>
        </is>
      </c>
      <c r="G523" s="44" t="n">
        <v>0</v>
      </c>
      <c r="H523" s="44" t="n">
        <v>0</v>
      </c>
      <c r="I523" s="44" t="n">
        <v>3</v>
      </c>
      <c r="J523" s="44" t="n">
        <v>8</v>
      </c>
      <c r="K523" s="45" t="inlineStr">
        <is>
          <t>Rage</t>
        </is>
      </c>
      <c r="L523" s="44" t="n"/>
      <c r="M523" s="44" t="inlineStr">
        <is>
          <t>—</t>
        </is>
      </c>
      <c r="N523" s="44" t="inlineStr">
        <is>
          <t>Other</t>
        </is>
      </c>
      <c r="O523" s="44" t="inlineStr">
        <is>
          <t>Any</t>
        </is>
      </c>
      <c r="P523" s="45" t="inlineStr">
        <is>
          <t>Test card (admin sandbox)</t>
        </is>
      </c>
      <c r="Q523" s="44" t="inlineStr">
        <is>
          <t>Not planned</t>
        </is>
      </c>
    </row>
    <row r="524" ht="15" customHeight="1" s="39">
      <c r="A524" s="44" t="inlineStr">
        <is>
          <t>Retired / not planned</t>
        </is>
      </c>
      <c r="B524" s="44" t="n"/>
      <c r="C524" s="44" t="inlineStr">
        <is>
          <t>Test: Reflect</t>
        </is>
      </c>
      <c r="D524" s="44" t="inlineStr">
        <is>
          <t>test-skill-reflect</t>
        </is>
      </c>
      <c r="E524" s="44" t="n"/>
      <c r="F524" s="44" t="inlineStr">
        <is>
          <t>—</t>
        </is>
      </c>
      <c r="G524" s="44" t="n">
        <v>0</v>
      </c>
      <c r="H524" s="44" t="n">
        <v>0</v>
      </c>
      <c r="I524" s="44" t="n">
        <v>3</v>
      </c>
      <c r="J524" s="44" t="n">
        <v>8</v>
      </c>
      <c r="K524" s="45" t="inlineStr">
        <is>
          <t>Reflect 100</t>
        </is>
      </c>
      <c r="L524" s="44" t="n"/>
      <c r="M524" s="44" t="inlineStr">
        <is>
          <t>—</t>
        </is>
      </c>
      <c r="N524" s="44" t="inlineStr">
        <is>
          <t>Other</t>
        </is>
      </c>
      <c r="O524" s="44" t="inlineStr">
        <is>
          <t>Any</t>
        </is>
      </c>
      <c r="P524" s="45" t="inlineStr">
        <is>
          <t>Test card (admin sandbox)</t>
        </is>
      </c>
      <c r="Q524" s="44" t="inlineStr">
        <is>
          <t>Not planned</t>
        </is>
      </c>
    </row>
    <row r="525" ht="15" customHeight="1" s="39">
      <c r="A525" s="44" t="inlineStr">
        <is>
          <t>Retired / not planned</t>
        </is>
      </c>
      <c r="B525" s="44" t="n"/>
      <c r="C525" s="44" t="inlineStr">
        <is>
          <t>Test: Regeneration</t>
        </is>
      </c>
      <c r="D525" s="44" t="inlineStr">
        <is>
          <t>test-skill-regen</t>
        </is>
      </c>
      <c r="E525" s="44" t="n"/>
      <c r="F525" s="44" t="inlineStr">
        <is>
          <t>—</t>
        </is>
      </c>
      <c r="G525" s="44" t="n">
        <v>0</v>
      </c>
      <c r="H525" s="44" t="n">
        <v>0</v>
      </c>
      <c r="I525" s="44" t="n">
        <v>3</v>
      </c>
      <c r="J525" s="44" t="n">
        <v>8</v>
      </c>
      <c r="K525" s="45" t="inlineStr">
        <is>
          <t>Regeneration 2</t>
        </is>
      </c>
      <c r="L525" s="44" t="n"/>
      <c r="M525" s="44" t="inlineStr">
        <is>
          <t>—</t>
        </is>
      </c>
      <c r="N525" s="44" t="inlineStr">
        <is>
          <t>Other</t>
        </is>
      </c>
      <c r="O525" s="44" t="inlineStr">
        <is>
          <t>Any</t>
        </is>
      </c>
      <c r="P525" s="45" t="inlineStr">
        <is>
          <t>Test card (admin sandbox)</t>
        </is>
      </c>
      <c r="Q525" s="44" t="inlineStr">
        <is>
          <t>Not planned</t>
        </is>
      </c>
    </row>
    <row r="526" ht="15" customHeight="1" s="39">
      <c r="A526" s="44" t="inlineStr">
        <is>
          <t>Retired / not planned</t>
        </is>
      </c>
      <c r="B526" s="44" t="n"/>
      <c r="C526" s="44" t="inlineStr">
        <is>
          <t>Test: Reload</t>
        </is>
      </c>
      <c r="D526" s="44" t="inlineStr">
        <is>
          <t>test-skill-reload</t>
        </is>
      </c>
      <c r="E526" s="44" t="n"/>
      <c r="F526" s="44" t="inlineStr">
        <is>
          <t>—</t>
        </is>
      </c>
      <c r="G526" s="44" t="n">
        <v>0</v>
      </c>
      <c r="H526" s="44" t="n">
        <v>0</v>
      </c>
      <c r="I526" s="44" t="n">
        <v>3</v>
      </c>
      <c r="J526" s="44" t="n">
        <v>8</v>
      </c>
      <c r="K526" s="45" t="inlineStr">
        <is>
          <t>Reload 2</t>
        </is>
      </c>
      <c r="L526" s="44" t="n"/>
      <c r="M526" s="44" t="inlineStr">
        <is>
          <t>—</t>
        </is>
      </c>
      <c r="N526" s="44" t="inlineStr">
        <is>
          <t>Other</t>
        </is>
      </c>
      <c r="O526" s="44" t="inlineStr">
        <is>
          <t>Any</t>
        </is>
      </c>
      <c r="P526" s="45" t="inlineStr">
        <is>
          <t>Test card (admin sandbox)</t>
        </is>
      </c>
      <c r="Q526" s="44" t="inlineStr">
        <is>
          <t>Not planned</t>
        </is>
      </c>
    </row>
    <row r="527" ht="15" customHeight="1" s="39">
      <c r="A527" s="44" t="inlineStr">
        <is>
          <t>Retired / not planned</t>
        </is>
      </c>
      <c r="B527" s="44" t="n"/>
      <c r="C527" s="44" t="inlineStr">
        <is>
          <t>Test: Render</t>
        </is>
      </c>
      <c r="D527" s="44" t="inlineStr">
        <is>
          <t>test-skill-render</t>
        </is>
      </c>
      <c r="E527" s="44" t="n"/>
      <c r="F527" s="44" t="inlineStr">
        <is>
          <t>—</t>
        </is>
      </c>
      <c r="G527" s="44" t="n">
        <v>0</v>
      </c>
      <c r="H527" s="44" t="n">
        <v>0</v>
      </c>
      <c r="I527" s="44" t="n">
        <v>3</v>
      </c>
      <c r="J527" s="44" t="n">
        <v>8</v>
      </c>
      <c r="K527" s="45" t="inlineStr">
        <is>
          <t>Render 2</t>
        </is>
      </c>
      <c r="L527" s="44" t="n"/>
      <c r="M527" s="44" t="inlineStr">
        <is>
          <t>—</t>
        </is>
      </c>
      <c r="N527" s="44" t="inlineStr">
        <is>
          <t>Other</t>
        </is>
      </c>
      <c r="O527" s="44" t="inlineStr">
        <is>
          <t>Any</t>
        </is>
      </c>
      <c r="P527" s="45" t="inlineStr">
        <is>
          <t>Test card (admin sandbox)</t>
        </is>
      </c>
      <c r="Q527" s="44" t="inlineStr">
        <is>
          <t>Not planned</t>
        </is>
      </c>
    </row>
    <row r="528" ht="15" customHeight="1" s="39">
      <c r="A528" s="44" t="inlineStr">
        <is>
          <t>Retired / not planned</t>
        </is>
      </c>
      <c r="B528" s="44" t="n"/>
      <c r="C528" s="44" t="inlineStr">
        <is>
          <t>Test: Revivificated</t>
        </is>
      </c>
      <c r="D528" s="44" t="inlineStr">
        <is>
          <t>test-skill-revive</t>
        </is>
      </c>
      <c r="E528" s="44" t="n"/>
      <c r="F528" s="44" t="inlineStr">
        <is>
          <t>—</t>
        </is>
      </c>
      <c r="G528" s="44" t="n">
        <v>0</v>
      </c>
      <c r="H528" s="44" t="n">
        <v>0</v>
      </c>
      <c r="I528" s="44" t="n">
        <v>3</v>
      </c>
      <c r="J528" s="44" t="n">
        <v>8</v>
      </c>
      <c r="K528" s="45" t="inlineStr">
        <is>
          <t>Revivificated</t>
        </is>
      </c>
      <c r="L528" s="44" t="n"/>
      <c r="M528" s="44" t="inlineStr">
        <is>
          <t>—</t>
        </is>
      </c>
      <c r="N528" s="44" t="inlineStr">
        <is>
          <t>Other</t>
        </is>
      </c>
      <c r="O528" s="44" t="inlineStr">
        <is>
          <t>Any</t>
        </is>
      </c>
      <c r="P528" s="45" t="inlineStr">
        <is>
          <t>Test card (admin sandbox)</t>
        </is>
      </c>
      <c r="Q528" s="44" t="inlineStr">
        <is>
          <t>Not planned</t>
        </is>
      </c>
    </row>
    <row r="529" ht="15" customHeight="1" s="39">
      <c r="A529" s="44" t="inlineStr">
        <is>
          <t>Retired / not planned</t>
        </is>
      </c>
      <c r="B529" s="44" t="n"/>
      <c r="C529" s="44" t="inlineStr">
        <is>
          <t>Test: Rupture</t>
        </is>
      </c>
      <c r="D529" s="44" t="inlineStr">
        <is>
          <t>test-skill-rupture</t>
        </is>
      </c>
      <c r="E529" s="44" t="n"/>
      <c r="F529" s="44" t="inlineStr">
        <is>
          <t>—</t>
        </is>
      </c>
      <c r="G529" s="44" t="n">
        <v>0</v>
      </c>
      <c r="H529" s="44" t="n">
        <v>0</v>
      </c>
      <c r="I529" s="44" t="n">
        <v>3</v>
      </c>
      <c r="J529" s="44" t="n">
        <v>8</v>
      </c>
      <c r="K529" s="45" t="inlineStr">
        <is>
          <t>Rupture</t>
        </is>
      </c>
      <c r="L529" s="44" t="n"/>
      <c r="M529" s="44" t="inlineStr">
        <is>
          <t>—</t>
        </is>
      </c>
      <c r="N529" s="44" t="inlineStr">
        <is>
          <t>Other</t>
        </is>
      </c>
      <c r="O529" s="44" t="inlineStr">
        <is>
          <t>Any</t>
        </is>
      </c>
      <c r="P529" s="45" t="inlineStr">
        <is>
          <t>Test card (admin sandbox)</t>
        </is>
      </c>
      <c r="Q529" s="44" t="inlineStr">
        <is>
          <t>Not planned</t>
        </is>
      </c>
    </row>
    <row r="530" ht="15" customHeight="1" s="39">
      <c r="A530" s="44" t="inlineStr">
        <is>
          <t>Retired / not planned</t>
        </is>
      </c>
      <c r="B530" s="44" t="n"/>
      <c r="C530" s="44" t="inlineStr">
        <is>
          <t>Test: Shell</t>
        </is>
      </c>
      <c r="D530" s="44" t="inlineStr">
        <is>
          <t>test-skill-shell</t>
        </is>
      </c>
      <c r="E530" s="44" t="n"/>
      <c r="F530" s="44" t="inlineStr">
        <is>
          <t>—</t>
        </is>
      </c>
      <c r="G530" s="44" t="n">
        <v>0</v>
      </c>
      <c r="H530" s="44" t="n">
        <v>0</v>
      </c>
      <c r="I530" s="44" t="n">
        <v>3</v>
      </c>
      <c r="J530" s="44" t="n">
        <v>8</v>
      </c>
      <c r="K530" s="45" t="inlineStr">
        <is>
          <t>Shell 2</t>
        </is>
      </c>
      <c r="L530" s="44" t="n"/>
      <c r="M530" s="44" t="inlineStr">
        <is>
          <t>—</t>
        </is>
      </c>
      <c r="N530" s="44" t="inlineStr">
        <is>
          <t>Other</t>
        </is>
      </c>
      <c r="O530" s="44" t="inlineStr">
        <is>
          <t>Any</t>
        </is>
      </c>
      <c r="P530" s="45" t="inlineStr">
        <is>
          <t>Test card (admin sandbox)</t>
        </is>
      </c>
      <c r="Q530" s="44" t="inlineStr">
        <is>
          <t>Not planned</t>
        </is>
      </c>
    </row>
    <row r="531" ht="15" customHeight="1" s="39">
      <c r="A531" s="44" t="inlineStr">
        <is>
          <t>Retired / not planned</t>
        </is>
      </c>
      <c r="B531" s="44" t="n"/>
      <c r="C531" s="44" t="inlineStr">
        <is>
          <t>Test: Shock</t>
        </is>
      </c>
      <c r="D531" s="44" t="inlineStr">
        <is>
          <t>test-skill-shock</t>
        </is>
      </c>
      <c r="E531" s="44" t="n"/>
      <c r="F531" s="44" t="inlineStr">
        <is>
          <t>—</t>
        </is>
      </c>
      <c r="G531" s="44" t="n">
        <v>0</v>
      </c>
      <c r="H531" s="44" t="n">
        <v>0</v>
      </c>
      <c r="I531" s="44" t="n">
        <v>3</v>
      </c>
      <c r="J531" s="44" t="n">
        <v>8</v>
      </c>
      <c r="K531" s="45" t="inlineStr">
        <is>
          <t>Shock (100%)</t>
        </is>
      </c>
      <c r="L531" s="44" t="n"/>
      <c r="M531" s="44" t="inlineStr">
        <is>
          <t>—</t>
        </is>
      </c>
      <c r="N531" s="44" t="inlineStr">
        <is>
          <t>Other</t>
        </is>
      </c>
      <c r="O531" s="44" t="inlineStr">
        <is>
          <t>Any</t>
        </is>
      </c>
      <c r="P531" s="45" t="inlineStr">
        <is>
          <t>Test card (admin sandbox)</t>
        </is>
      </c>
      <c r="Q531" s="44" t="inlineStr">
        <is>
          <t>Not planned</t>
        </is>
      </c>
    </row>
    <row r="532" ht="15" customHeight="1" s="39">
      <c r="A532" s="44" t="inlineStr">
        <is>
          <t>Retired / not planned</t>
        </is>
      </c>
      <c r="B532" s="44" t="n"/>
      <c r="C532" s="44" t="inlineStr">
        <is>
          <t>Test: Siege</t>
        </is>
      </c>
      <c r="D532" s="44" t="inlineStr">
        <is>
          <t>test-skill-siege</t>
        </is>
      </c>
      <c r="E532" s="44" t="n"/>
      <c r="F532" s="44" t="inlineStr">
        <is>
          <t>—</t>
        </is>
      </c>
      <c r="G532" s="44" t="n">
        <v>0</v>
      </c>
      <c r="H532" s="44" t="n">
        <v>0</v>
      </c>
      <c r="I532" s="44" t="n">
        <v>3</v>
      </c>
      <c r="J532" s="44" t="n">
        <v>8</v>
      </c>
      <c r="K532" s="45" t="inlineStr">
        <is>
          <t>Siege 5</t>
        </is>
      </c>
      <c r="L532" s="44" t="n"/>
      <c r="M532" s="44" t="inlineStr">
        <is>
          <t>—</t>
        </is>
      </c>
      <c r="N532" s="44" t="inlineStr">
        <is>
          <t>Other</t>
        </is>
      </c>
      <c r="O532" s="44" t="inlineStr">
        <is>
          <t>Any</t>
        </is>
      </c>
      <c r="P532" s="45" t="inlineStr">
        <is>
          <t>Test card (admin sandbox)</t>
        </is>
      </c>
      <c r="Q532" s="44" t="inlineStr">
        <is>
          <t>Not planned</t>
        </is>
      </c>
    </row>
    <row r="533" ht="15" customHeight="1" s="39">
      <c r="A533" s="44" t="inlineStr">
        <is>
          <t>Retired / not planned</t>
        </is>
      </c>
      <c r="B533" s="44" t="n"/>
      <c r="C533" s="44" t="inlineStr">
        <is>
          <t>Test: Skyfall</t>
        </is>
      </c>
      <c r="D533" s="44" t="inlineStr">
        <is>
          <t>test-skill-skyfall</t>
        </is>
      </c>
      <c r="E533" s="44" t="n"/>
      <c r="F533" s="44" t="inlineStr">
        <is>
          <t>—</t>
        </is>
      </c>
      <c r="G533" s="44" t="n">
        <v>0</v>
      </c>
      <c r="H533" s="44" t="n">
        <v>0</v>
      </c>
      <c r="I533" s="44" t="n">
        <v>3</v>
      </c>
      <c r="J533" s="44" t="n">
        <v>8</v>
      </c>
      <c r="K533" s="45" t="inlineStr">
        <is>
          <t>Skyfall 1</t>
        </is>
      </c>
      <c r="L533" s="44" t="n"/>
      <c r="M533" s="44" t="inlineStr">
        <is>
          <t>—</t>
        </is>
      </c>
      <c r="N533" s="44" t="inlineStr">
        <is>
          <t>Other</t>
        </is>
      </c>
      <c r="O533" s="44" t="inlineStr">
        <is>
          <t>Any</t>
        </is>
      </c>
      <c r="P533" s="45" t="inlineStr">
        <is>
          <t>Test card (admin sandbox)</t>
        </is>
      </c>
      <c r="Q533" s="44" t="inlineStr">
        <is>
          <t>Not planned</t>
        </is>
      </c>
    </row>
    <row r="534" ht="15" customHeight="1" s="39">
      <c r="A534" s="44" t="inlineStr">
        <is>
          <t>Retired / not planned</t>
        </is>
      </c>
      <c r="B534" s="44" t="n"/>
      <c r="C534" s="44" t="inlineStr">
        <is>
          <t>Test: Sleep</t>
        </is>
      </c>
      <c r="D534" s="44" t="inlineStr">
        <is>
          <t>test-skill-sleep</t>
        </is>
      </c>
      <c r="E534" s="44" t="n"/>
      <c r="F534" s="44" t="inlineStr">
        <is>
          <t>—</t>
        </is>
      </c>
      <c r="G534" s="44" t="n">
        <v>0</v>
      </c>
      <c r="H534" s="44" t="n">
        <v>0</v>
      </c>
      <c r="I534" s="44" t="n">
        <v>3</v>
      </c>
      <c r="J534" s="44" t="n">
        <v>8</v>
      </c>
      <c r="K534" s="45" t="inlineStr">
        <is>
          <t>Sleep (100%)</t>
        </is>
      </c>
      <c r="L534" s="44" t="n"/>
      <c r="M534" s="44" t="inlineStr">
        <is>
          <t>—</t>
        </is>
      </c>
      <c r="N534" s="44" t="inlineStr">
        <is>
          <t>Other</t>
        </is>
      </c>
      <c r="O534" s="44" t="inlineStr">
        <is>
          <t>Any</t>
        </is>
      </c>
      <c r="P534" s="45" t="inlineStr">
        <is>
          <t>Test card (admin sandbox)</t>
        </is>
      </c>
      <c r="Q534" s="44" t="inlineStr">
        <is>
          <t>Not planned</t>
        </is>
      </c>
    </row>
    <row r="535" ht="15" customHeight="1" s="39">
      <c r="A535" s="44" t="inlineStr">
        <is>
          <t>Retired / not planned</t>
        </is>
      </c>
      <c r="B535" s="44" t="n"/>
      <c r="C535" s="44" t="inlineStr">
        <is>
          <t>Test: Stagger</t>
        </is>
      </c>
      <c r="D535" s="44" t="inlineStr">
        <is>
          <t>test-skill-stagger</t>
        </is>
      </c>
      <c r="E535" s="44" t="n"/>
      <c r="F535" s="44" t="inlineStr">
        <is>
          <t>—</t>
        </is>
      </c>
      <c r="G535" s="44" t="n">
        <v>0</v>
      </c>
      <c r="H535" s="44" t="n">
        <v>0</v>
      </c>
      <c r="I535" s="44" t="n">
        <v>3</v>
      </c>
      <c r="J535" s="44" t="n">
        <v>8</v>
      </c>
      <c r="K535" s="45" t="inlineStr">
        <is>
          <t>Stagger (100%)</t>
        </is>
      </c>
      <c r="L535" s="44" t="n"/>
      <c r="M535" s="44" t="inlineStr">
        <is>
          <t>—</t>
        </is>
      </c>
      <c r="N535" s="44" t="inlineStr">
        <is>
          <t>Deer &amp; Elk</t>
        </is>
      </c>
      <c r="O535" s="44" t="inlineStr">
        <is>
          <t>Any</t>
        </is>
      </c>
      <c r="P535" s="45" t="inlineStr">
        <is>
          <t>Test card (admin sandbox)</t>
        </is>
      </c>
      <c r="Q535" s="44" t="inlineStr">
        <is>
          <t>Not planned</t>
        </is>
      </c>
    </row>
    <row r="536" ht="15" customHeight="1" s="39">
      <c r="A536" s="44" t="inlineStr">
        <is>
          <t>Retired / not planned</t>
        </is>
      </c>
      <c r="B536" s="44" t="n"/>
      <c r="C536" s="44" t="inlineStr">
        <is>
          <t>Test: Stealth</t>
        </is>
      </c>
      <c r="D536" s="44" t="inlineStr">
        <is>
          <t>test-skill-stealth</t>
        </is>
      </c>
      <c r="E536" s="44" t="n"/>
      <c r="F536" s="44" t="inlineStr">
        <is>
          <t>—</t>
        </is>
      </c>
      <c r="G536" s="44" t="n">
        <v>0</v>
      </c>
      <c r="H536" s="44" t="n">
        <v>0</v>
      </c>
      <c r="I536" s="44" t="n">
        <v>3</v>
      </c>
      <c r="J536" s="44" t="n">
        <v>8</v>
      </c>
      <c r="K536" s="45" t="inlineStr">
        <is>
          <t>Stealth</t>
        </is>
      </c>
      <c r="L536" s="44" t="n"/>
      <c r="M536" s="44" t="inlineStr">
        <is>
          <t>—</t>
        </is>
      </c>
      <c r="N536" s="44" t="inlineStr">
        <is>
          <t>Other</t>
        </is>
      </c>
      <c r="O536" s="44" t="inlineStr">
        <is>
          <t>Any</t>
        </is>
      </c>
      <c r="P536" s="45" t="inlineStr">
        <is>
          <t>Test card (admin sandbox)</t>
        </is>
      </c>
      <c r="Q536" s="44" t="inlineStr">
        <is>
          <t>Not planned</t>
        </is>
      </c>
    </row>
    <row r="537" ht="15" customHeight="1" s="39">
      <c r="A537" s="44" t="inlineStr">
        <is>
          <t>Retired / not planned</t>
        </is>
      </c>
      <c r="B537" s="44" t="n"/>
      <c r="C537" s="44" t="inlineStr">
        <is>
          <t>Test: Stun</t>
        </is>
      </c>
      <c r="D537" s="44" t="inlineStr">
        <is>
          <t>test-skill-stun-on-hit</t>
        </is>
      </c>
      <c r="E537" s="44" t="n"/>
      <c r="F537" s="44" t="inlineStr">
        <is>
          <t>—</t>
        </is>
      </c>
      <c r="G537" s="44" t="n">
        <v>0</v>
      </c>
      <c r="H537" s="44" t="n">
        <v>0</v>
      </c>
      <c r="I537" s="44" t="n">
        <v>3</v>
      </c>
      <c r="J537" s="44" t="n">
        <v>8</v>
      </c>
      <c r="K537" s="45" t="inlineStr">
        <is>
          <t>Stun 100</t>
        </is>
      </c>
      <c r="L537" s="44" t="n"/>
      <c r="M537" s="44" t="inlineStr">
        <is>
          <t>—</t>
        </is>
      </c>
      <c r="N537" s="44" t="inlineStr">
        <is>
          <t>Other</t>
        </is>
      </c>
      <c r="O537" s="44" t="inlineStr">
        <is>
          <t>Any</t>
        </is>
      </c>
      <c r="P537" s="45" t="inlineStr">
        <is>
          <t>Test card (admin sandbox)</t>
        </is>
      </c>
      <c r="Q537" s="44" t="inlineStr">
        <is>
          <t>Not planned</t>
        </is>
      </c>
    </row>
    <row r="538" ht="15" customHeight="1" s="39">
      <c r="A538" s="44" t="inlineStr">
        <is>
          <t>Retired / not planned</t>
        </is>
      </c>
      <c r="B538" s="44" t="n"/>
      <c r="C538" s="44" t="inlineStr">
        <is>
          <t>Test: Sweep</t>
        </is>
      </c>
      <c r="D538" s="44" t="inlineStr">
        <is>
          <t>test-skill-sweep</t>
        </is>
      </c>
      <c r="E538" s="44" t="n"/>
      <c r="F538" s="44" t="inlineStr">
        <is>
          <t>—</t>
        </is>
      </c>
      <c r="G538" s="44" t="n">
        <v>0</v>
      </c>
      <c r="H538" s="44" t="n">
        <v>0</v>
      </c>
      <c r="I538" s="44" t="n">
        <v>3</v>
      </c>
      <c r="J538" s="44" t="n">
        <v>8</v>
      </c>
      <c r="K538" s="45" t="inlineStr">
        <is>
          <t>Cleave 1</t>
        </is>
      </c>
      <c r="L538" s="44" t="n"/>
      <c r="M538" s="44" t="inlineStr">
        <is>
          <t>—</t>
        </is>
      </c>
      <c r="N538" s="44" t="inlineStr">
        <is>
          <t>Other</t>
        </is>
      </c>
      <c r="O538" s="44" t="inlineStr">
        <is>
          <t>Any</t>
        </is>
      </c>
      <c r="P538" s="45" t="inlineStr">
        <is>
          <t>Test card (admin sandbox)</t>
        </is>
      </c>
      <c r="Q538" s="44" t="inlineStr">
        <is>
          <t>Not planned</t>
        </is>
      </c>
    </row>
    <row r="539" ht="15" customHeight="1" s="39">
      <c r="A539" s="44" t="inlineStr">
        <is>
          <t>Retired / not planned</t>
        </is>
      </c>
      <c r="B539" s="44" t="n"/>
      <c r="C539" s="44" t="inlineStr">
        <is>
          <t>Test: Thorns</t>
        </is>
      </c>
      <c r="D539" s="44" t="inlineStr">
        <is>
          <t>test-skill-thorns</t>
        </is>
      </c>
      <c r="E539" s="44" t="n"/>
      <c r="F539" s="44" t="inlineStr">
        <is>
          <t>—</t>
        </is>
      </c>
      <c r="G539" s="44" t="n">
        <v>0</v>
      </c>
      <c r="H539" s="44" t="n">
        <v>0</v>
      </c>
      <c r="I539" s="44" t="n">
        <v>3</v>
      </c>
      <c r="J539" s="44" t="n">
        <v>8</v>
      </c>
      <c r="K539" s="45" t="inlineStr">
        <is>
          <t>Thorns 3</t>
        </is>
      </c>
      <c r="L539" s="44" t="n"/>
      <c r="M539" s="44" t="inlineStr">
        <is>
          <t>—</t>
        </is>
      </c>
      <c r="N539" s="44" t="inlineStr">
        <is>
          <t>Other</t>
        </is>
      </c>
      <c r="O539" s="44" t="inlineStr">
        <is>
          <t>Any</t>
        </is>
      </c>
      <c r="P539" s="45" t="inlineStr">
        <is>
          <t>Test card (admin sandbox)</t>
        </is>
      </c>
      <c r="Q539" s="44" t="inlineStr">
        <is>
          <t>Not planned</t>
        </is>
      </c>
    </row>
    <row r="540" ht="15" customHeight="1" s="39">
      <c r="A540" s="44" t="inlineStr">
        <is>
          <t>Retired / not planned</t>
        </is>
      </c>
      <c r="B540" s="44" t="n"/>
      <c r="C540" s="44" t="inlineStr">
        <is>
          <t>Training Dummy</t>
        </is>
      </c>
      <c r="D540" s="44" t="inlineStr">
        <is>
          <t>test-training-dummy</t>
        </is>
      </c>
      <c r="E540" s="44" t="n"/>
      <c r="F540" s="44" t="inlineStr">
        <is>
          <t>—</t>
        </is>
      </c>
      <c r="G540" s="44" t="n">
        <v>0</v>
      </c>
      <c r="H540" s="44" t="n">
        <v>0</v>
      </c>
      <c r="I540" s="44" t="n">
        <v>0</v>
      </c>
      <c r="J540" s="44" t="n">
        <v>1</v>
      </c>
      <c r="K540" s="45" t="inlineStr">
        <is>
          <t>—</t>
        </is>
      </c>
      <c r="L540" s="44" t="n"/>
      <c r="M540" s="44" t="inlineStr">
        <is>
          <t>—</t>
        </is>
      </c>
      <c r="N540" s="44" t="inlineStr">
        <is>
          <t>Other</t>
        </is>
      </c>
      <c r="O540" s="44" t="inlineStr">
        <is>
          <t>Any</t>
        </is>
      </c>
      <c r="P540" s="45" t="inlineStr">
        <is>
          <t>Test card (admin sandbox)</t>
        </is>
      </c>
      <c r="Q540" s="44" t="inlineStr">
        <is>
          <t>Not planned</t>
        </is>
      </c>
    </row>
    <row r="541" ht="15" customHeight="1" s="39">
      <c r="A541" s="44" t="inlineStr">
        <is>
          <t>Retired / not planned</t>
        </is>
      </c>
      <c r="B541" s="44" t="n"/>
      <c r="C541" s="44" t="inlineStr">
        <is>
          <t>Training King</t>
        </is>
      </c>
      <c r="D541" s="44" t="inlineStr">
        <is>
          <t>test-training-king</t>
        </is>
      </c>
      <c r="E541" s="44" t="n"/>
      <c r="F541" s="44" t="inlineStr">
        <is>
          <t>—</t>
        </is>
      </c>
      <c r="G541" s="44" t="n">
        <v>0</v>
      </c>
      <c r="H541" s="44" t="n">
        <v>0</v>
      </c>
      <c r="I541" s="44" t="n">
        <v>1</v>
      </c>
      <c r="J541" s="44" t="n">
        <v>5</v>
      </c>
      <c r="K541" s="45" t="inlineStr">
        <is>
          <t>—</t>
        </is>
      </c>
      <c r="L541" s="44" t="n"/>
      <c r="M541" s="44" t="inlineStr">
        <is>
          <t>—</t>
        </is>
      </c>
      <c r="N541" s="44" t="inlineStr">
        <is>
          <t>Other</t>
        </is>
      </c>
      <c r="O541" s="44" t="inlineStr">
        <is>
          <t>Any</t>
        </is>
      </c>
      <c r="P541" s="45" t="inlineStr">
        <is>
          <t>Test card (admin sandbox)</t>
        </is>
      </c>
      <c r="Q541" s="44" t="inlineStr">
        <is>
          <t>Not planned</t>
        </is>
      </c>
    </row>
    <row r="542" ht="15" customHeight="1" s="39">
      <c r="A542" s="44" t="inlineStr">
        <is>
          <t>Retired / not planned</t>
        </is>
      </c>
      <c r="B542" s="44" t="n"/>
      <c r="C542" s="44" t="inlineStr">
        <is>
          <t>Trigger Test: Mender</t>
        </is>
      </c>
      <c r="D542" s="44" t="inlineStr">
        <is>
          <t>test-trigger-perturn-heal</t>
        </is>
      </c>
      <c r="E542" s="44" t="n"/>
      <c r="F542" s="44" t="inlineStr">
        <is>
          <t>—</t>
        </is>
      </c>
      <c r="G542" s="44" t="n">
        <v>0</v>
      </c>
      <c r="H542" s="44" t="n">
        <v>0</v>
      </c>
      <c r="I542" s="44" t="n">
        <v>2</v>
      </c>
      <c r="J542" s="44" t="n">
        <v>8</v>
      </c>
      <c r="K542" s="45" t="inlineStr">
        <is>
          <t>Trigger 3</t>
        </is>
      </c>
      <c r="L542" s="44" t="n"/>
      <c r="M542" s="44" t="inlineStr">
        <is>
          <t>—</t>
        </is>
      </c>
      <c r="N542" s="44" t="inlineStr">
        <is>
          <t>Other</t>
        </is>
      </c>
      <c r="O542" s="44" t="inlineStr">
        <is>
          <t>Any</t>
        </is>
      </c>
      <c r="P542" s="45" t="inlineStr">
        <is>
          <t>Test card (admin sandbox)</t>
        </is>
      </c>
      <c r="Q542" s="44" t="inlineStr">
        <is>
          <t>Not planned</t>
        </is>
      </c>
    </row>
    <row r="543" ht="15" customHeight="1" s="39">
      <c r="A543" s="44" t="inlineStr">
        <is>
          <t>Retired / not planned</t>
        </is>
      </c>
      <c r="B543" s="44" t="n"/>
      <c r="C543" s="44" t="inlineStr">
        <is>
          <t>Trigger Test: Spawn Strike</t>
        </is>
      </c>
      <c r="D543" s="44" t="inlineStr">
        <is>
          <t>test-trigger-onspawn-strike</t>
        </is>
      </c>
      <c r="E543" s="44" t="n"/>
      <c r="F543" s="44" t="inlineStr">
        <is>
          <t>—</t>
        </is>
      </c>
      <c r="G543" s="44" t="n">
        <v>0</v>
      </c>
      <c r="H543" s="44" t="n">
        <v>0</v>
      </c>
      <c r="I543" s="44" t="n">
        <v>2</v>
      </c>
      <c r="J543" s="44" t="n">
        <v>6</v>
      </c>
      <c r="K543" s="45" t="inlineStr">
        <is>
          <t>Trigger 5</t>
        </is>
      </c>
      <c r="L543" s="44" t="n"/>
      <c r="M543" s="44" t="inlineStr">
        <is>
          <t>—</t>
        </is>
      </c>
      <c r="N543" s="44" t="inlineStr">
        <is>
          <t>Other</t>
        </is>
      </c>
      <c r="O543" s="44" t="inlineStr">
        <is>
          <t>Any</t>
        </is>
      </c>
      <c r="P543" s="45" t="inlineStr">
        <is>
          <t>Test card (admin sandbox)</t>
        </is>
      </c>
      <c r="Q543" s="44" t="inlineStr">
        <is>
          <t>Not planned</t>
        </is>
      </c>
    </row>
    <row r="544" ht="15" customHeight="1" s="39">
      <c r="A544" s="44" t="inlineStr">
        <is>
          <t>Retired / not planned</t>
        </is>
      </c>
      <c r="B544" s="44" t="n"/>
      <c r="C544" s="44" t="inlineStr">
        <is>
          <t>Bat Swarmling</t>
        </is>
      </c>
      <c r="D544" s="44" t="inlineStr">
        <is>
          <t>bat-swarmling</t>
        </is>
      </c>
      <c r="E544" s="44" t="n"/>
      <c r="F544" s="44" t="inlineStr">
        <is>
          <t>—</t>
        </is>
      </c>
      <c r="G544" s="44" t="n">
        <v>0</v>
      </c>
      <c r="H544" s="44" t="n">
        <v>0</v>
      </c>
      <c r="I544" s="44" t="n">
        <v>1</v>
      </c>
      <c r="J544" s="44" t="n">
        <v>2</v>
      </c>
      <c r="K544" s="45" t="inlineStr">
        <is>
          <t>Flying</t>
        </is>
      </c>
      <c r="L544" s="44" t="n"/>
      <c r="M544" s="44" t="inlineStr">
        <is>
          <t>Bat (Beast)</t>
        </is>
      </c>
      <c r="N544" s="44" t="inlineStr">
        <is>
          <t>Bat</t>
        </is>
      </c>
      <c r="O544" s="44" t="inlineStr">
        <is>
          <t>Any</t>
        </is>
      </c>
      <c r="P544" s="45" t="inlineStr">
        <is>
          <t>Token: made by another card, never collected</t>
        </is>
      </c>
      <c r="Q544" s="44" t="inlineStr">
        <is>
          <t>Not planned</t>
        </is>
      </c>
    </row>
    <row r="545" ht="15" customHeight="1" s="39">
      <c r="A545" s="44" t="inlineStr">
        <is>
          <t>Retired / not planned</t>
        </is>
      </c>
      <c r="B545" s="44" t="n"/>
      <c r="C545" s="44" t="inlineStr">
        <is>
          <t>Bee Swarmling</t>
        </is>
      </c>
      <c r="D545" s="44" t="inlineStr">
        <is>
          <t>bee-swarmling</t>
        </is>
      </c>
      <c r="E545" s="44" t="n"/>
      <c r="F545" s="44" t="inlineStr">
        <is>
          <t>—</t>
        </is>
      </c>
      <c r="G545" s="44" t="n">
        <v>0</v>
      </c>
      <c r="H545" s="44" t="n">
        <v>1</v>
      </c>
      <c r="I545" s="44" t="n">
        <v>1</v>
      </c>
      <c r="J545" s="44" t="n">
        <v>2</v>
      </c>
      <c r="K545" s="45" t="inlineStr">
        <is>
          <t>Flying</t>
        </is>
      </c>
      <c r="L545" s="44" t="n"/>
      <c r="M545" s="44" t="inlineStr">
        <is>
          <t>Insect (Arthropod)</t>
        </is>
      </c>
      <c r="N545" s="44" t="inlineStr">
        <is>
          <t>Bee &amp; Wasp</t>
        </is>
      </c>
      <c r="O545" s="44" t="inlineStr">
        <is>
          <t>Any</t>
        </is>
      </c>
      <c r="P545" s="45" t="inlineStr">
        <is>
          <t>Token: made by another card, never collected</t>
        </is>
      </c>
      <c r="Q545" s="44" t="inlineStr">
        <is>
          <t>Not planned</t>
        </is>
      </c>
    </row>
    <row r="546" ht="15" customHeight="1" s="39">
      <c r="A546" s="44" t="inlineStr">
        <is>
          <t>Retired / not planned</t>
        </is>
      </c>
      <c r="B546" s="44" t="n"/>
      <c r="C546" s="44" t="inlineStr">
        <is>
          <t>Big Bee</t>
        </is>
      </c>
      <c r="D546" s="44" t="inlineStr">
        <is>
          <t>bee-tank</t>
        </is>
      </c>
      <c r="E546" s="44" t="n"/>
      <c r="F546" s="44" t="inlineStr">
        <is>
          <t>—</t>
        </is>
      </c>
      <c r="G546" s="44" t="n">
        <v>0</v>
      </c>
      <c r="H546" s="44" t="n">
        <v>0</v>
      </c>
      <c r="I546" s="44" t="n">
        <v>4</v>
      </c>
      <c r="J546" s="44" t="n">
        <v>4</v>
      </c>
      <c r="K546" s="45" t="inlineStr">
        <is>
          <t>Flying</t>
        </is>
      </c>
      <c r="L546" s="44" t="n"/>
      <c r="M546" s="44" t="inlineStr">
        <is>
          <t>Insect (Arthropod)</t>
        </is>
      </c>
      <c r="N546" s="44" t="inlineStr">
        <is>
          <t>Bee &amp; Wasp</t>
        </is>
      </c>
      <c r="O546" s="44" t="inlineStr">
        <is>
          <t>Any</t>
        </is>
      </c>
      <c r="P546" s="45" t="inlineStr">
        <is>
          <t>Token: made by another card, never collected</t>
        </is>
      </c>
      <c r="Q546" s="44" t="inlineStr">
        <is>
          <t>Not planned</t>
        </is>
      </c>
    </row>
    <row r="547" ht="15" customHeight="1" s="39">
      <c r="A547" s="44" t="inlineStr">
        <is>
          <t>Retired / not planned</t>
        </is>
      </c>
      <c r="B547" s="44" t="n"/>
      <c r="C547" s="44" t="inlineStr">
        <is>
          <t>Fly</t>
        </is>
      </c>
      <c r="D547" s="44" t="inlineStr">
        <is>
          <t>fly-imp</t>
        </is>
      </c>
      <c r="E547" s="44" t="n"/>
      <c r="F547" s="44" t="inlineStr">
        <is>
          <t>—</t>
        </is>
      </c>
      <c r="G547" s="44" t="n">
        <v>0</v>
      </c>
      <c r="H547" s="44" t="n">
        <v>0</v>
      </c>
      <c r="I547" s="44" t="n">
        <v>1</v>
      </c>
      <c r="J547" s="44" t="n">
        <v>1</v>
      </c>
      <c r="K547" s="45" t="inlineStr">
        <is>
          <t>Flying</t>
        </is>
      </c>
      <c r="L547" s="44" t="n"/>
      <c r="M547" s="44" t="inlineStr">
        <is>
          <t>Insect &amp; Elemental (Arthropod &amp; Elemental)</t>
        </is>
      </c>
      <c r="N547" s="44" t="inlineStr">
        <is>
          <t>Beetle &amp; Bug</t>
        </is>
      </c>
      <c r="O547" s="44" t="inlineStr">
        <is>
          <t>Any</t>
        </is>
      </c>
      <c r="P547" s="45" t="inlineStr">
        <is>
          <t>Token: made by another card, never collected</t>
        </is>
      </c>
      <c r="Q547" s="44" t="inlineStr">
        <is>
          <t>Not planned</t>
        </is>
      </c>
    </row>
    <row r="548" ht="15" customHeight="1" s="39">
      <c r="A548" s="44" t="inlineStr">
        <is>
          <t>Retired / not planned</t>
        </is>
      </c>
      <c r="B548" s="44" t="n"/>
      <c r="C548" s="44" t="inlineStr">
        <is>
          <t>Frog</t>
        </is>
      </c>
      <c r="D548" s="44" t="inlineStr">
        <is>
          <t>frog-imp</t>
        </is>
      </c>
      <c r="E548" s="44" t="n"/>
      <c r="F548" s="44" t="inlineStr">
        <is>
          <t>—</t>
        </is>
      </c>
      <c r="G548" s="44" t="n">
        <v>0</v>
      </c>
      <c r="H548" s="44" t="n">
        <v>0</v>
      </c>
      <c r="I548" s="44" t="n">
        <v>1</v>
      </c>
      <c r="J548" s="44" t="n">
        <v>1</v>
      </c>
      <c r="K548" s="45" t="inlineStr">
        <is>
          <t>—</t>
        </is>
      </c>
      <c r="L548" s="44" t="n"/>
      <c r="M548" s="44" t="inlineStr">
        <is>
          <t>Amphibian &amp; Elemental (Elemental &amp; Scaled)</t>
        </is>
      </c>
      <c r="N548" s="44" t="inlineStr">
        <is>
          <t>Frog &amp; Toad</t>
        </is>
      </c>
      <c r="O548" s="44" t="inlineStr">
        <is>
          <t>Any</t>
        </is>
      </c>
      <c r="P548" s="45" t="inlineStr">
        <is>
          <t>Token: made by another card, never collected</t>
        </is>
      </c>
      <c r="Q548" s="44" t="inlineStr">
        <is>
          <t>Not planned</t>
        </is>
      </c>
    </row>
    <row r="549" ht="15" customHeight="1" s="39">
      <c r="A549" s="44" t="inlineStr">
        <is>
          <t>Retired / not planned</t>
        </is>
      </c>
      <c r="B549" s="44" t="n"/>
      <c r="C549" s="44" t="inlineStr">
        <is>
          <t>Guardian Shield</t>
        </is>
      </c>
      <c r="D549" s="44" t="inlineStr">
        <is>
          <t>summoned-shield</t>
        </is>
      </c>
      <c r="E549" s="44" t="n"/>
      <c r="F549" s="44" t="inlineStr">
        <is>
          <t>Common</t>
        </is>
      </c>
      <c r="G549" s="44" t="n">
        <v>0</v>
      </c>
      <c r="H549" s="44" t="n">
        <v>0</v>
      </c>
      <c r="I549" s="44" t="n">
        <v>0</v>
      </c>
      <c r="J549" s="44" t="n">
        <v>10</v>
      </c>
      <c r="K549" s="45" t="inlineStr">
        <is>
          <t>Guardian</t>
        </is>
      </c>
      <c r="L549" s="44" t="n"/>
      <c r="M549" s="44" t="inlineStr">
        <is>
          <t>Elemental</t>
        </is>
      </c>
      <c r="N549" s="44" t="inlineStr">
        <is>
          <t>Elemental</t>
        </is>
      </c>
      <c r="O549" s="44" t="inlineStr">
        <is>
          <t>Any</t>
        </is>
      </c>
      <c r="P549" s="45" t="inlineStr">
        <is>
          <t>Token: made by another card, never collected</t>
        </is>
      </c>
      <c r="Q549" s="44" t="inlineStr">
        <is>
          <t>Not planned</t>
        </is>
      </c>
    </row>
    <row r="550" ht="15" customHeight="1" s="39">
      <c r="A550" s="44" t="inlineStr">
        <is>
          <t>Retired / not planned</t>
        </is>
      </c>
      <c r="B550" s="44" t="n"/>
      <c r="C550" s="44" t="inlineStr">
        <is>
          <t>Insect Swarmling</t>
        </is>
      </c>
      <c r="D550" s="44" t="inlineStr">
        <is>
          <t>insect-swarmling</t>
        </is>
      </c>
      <c r="E550" s="44" t="n"/>
      <c r="F550" s="44" t="inlineStr">
        <is>
          <t>—</t>
        </is>
      </c>
      <c r="G550" s="44" t="n">
        <v>0</v>
      </c>
      <c r="H550" s="44" t="n">
        <v>1</v>
      </c>
      <c r="I550" s="44" t="n">
        <v>1</v>
      </c>
      <c r="J550" s="44" t="n">
        <v>1</v>
      </c>
      <c r="K550" s="45" t="inlineStr">
        <is>
          <t>Flying</t>
        </is>
      </c>
      <c r="L550" s="44" t="n"/>
      <c r="M550" s="44" t="inlineStr">
        <is>
          <t>Insect (Arthropod)</t>
        </is>
      </c>
      <c r="N550" s="44" t="inlineStr">
        <is>
          <t>Beetle &amp; Bug</t>
        </is>
      </c>
      <c r="O550" s="44" t="inlineStr">
        <is>
          <t>Any</t>
        </is>
      </c>
      <c r="P550" s="45" t="inlineStr">
        <is>
          <t>Token: made by another card, never collected</t>
        </is>
      </c>
      <c r="Q550" s="44" t="inlineStr">
        <is>
          <t>Not planned</t>
        </is>
      </c>
    </row>
    <row r="551" ht="15" customHeight="1" s="39">
      <c r="A551" s="44" t="inlineStr">
        <is>
          <t>Retired / not planned</t>
        </is>
      </c>
      <c r="B551" s="44" t="n"/>
      <c r="C551" s="44" t="inlineStr">
        <is>
          <t>Maggot</t>
        </is>
      </c>
      <c r="D551" s="44" t="inlineStr">
        <is>
          <t>maggot-swarmling</t>
        </is>
      </c>
      <c r="E551" s="44" t="n"/>
      <c r="F551" s="44" t="inlineStr">
        <is>
          <t>—</t>
        </is>
      </c>
      <c r="G551" s="44" t="n">
        <v>0</v>
      </c>
      <c r="H551" s="44" t="n">
        <v>0</v>
      </c>
      <c r="I551" s="44" t="n">
        <v>1</v>
      </c>
      <c r="J551" s="44" t="n">
        <v>1</v>
      </c>
      <c r="K551" s="45" t="inlineStr">
        <is>
          <t>—</t>
        </is>
      </c>
      <c r="L551" s="44" t="n"/>
      <c r="M551" s="44" t="inlineStr">
        <is>
          <t>Insect (Arthropod)</t>
        </is>
      </c>
      <c r="N551" s="44" t="inlineStr">
        <is>
          <t>Beetle &amp; Bug</t>
        </is>
      </c>
      <c r="O551" s="44" t="inlineStr">
        <is>
          <t>Any</t>
        </is>
      </c>
      <c r="P551" s="45" t="inlineStr">
        <is>
          <t>Token: made by another card, never collected</t>
        </is>
      </c>
      <c r="Q551" s="44" t="inlineStr">
        <is>
          <t>Not planned</t>
        </is>
      </c>
    </row>
    <row r="552" ht="15" customHeight="1" s="39">
      <c r="A552" s="44" t="inlineStr">
        <is>
          <t>Retired / not planned</t>
        </is>
      </c>
      <c r="B552" s="44" t="n"/>
      <c r="C552" s="44" t="inlineStr">
        <is>
          <t>Nest Hatchling</t>
        </is>
      </c>
      <c r="D552" s="44" t="inlineStr">
        <is>
          <t>nest-hatchling</t>
        </is>
      </c>
      <c r="E552" s="44" t="n"/>
      <c r="F552" s="44" t="inlineStr">
        <is>
          <t>Common</t>
        </is>
      </c>
      <c r="G552" s="44" t="n">
        <v>0</v>
      </c>
      <c r="H552" s="44" t="n">
        <v>0</v>
      </c>
      <c r="I552" s="44" t="n">
        <v>1</v>
      </c>
      <c r="J552" s="44" t="n">
        <v>2</v>
      </c>
      <c r="K552" s="45" t="inlineStr">
        <is>
          <t>Flying</t>
        </is>
      </c>
      <c r="L552" s="44" t="n"/>
      <c r="M552" s="44" t="inlineStr">
        <is>
          <t>Bird</t>
        </is>
      </c>
      <c r="N552" s="44" t="inlineStr">
        <is>
          <t>Hummingbird</t>
        </is>
      </c>
      <c r="O552" s="44" t="inlineStr">
        <is>
          <t>Any</t>
        </is>
      </c>
      <c r="P552" s="45" t="inlineStr">
        <is>
          <t>Token: made by another card, never collected</t>
        </is>
      </c>
      <c r="Q552" s="44" t="inlineStr">
        <is>
          <t>Not planned</t>
        </is>
      </c>
    </row>
    <row r="553" ht="15" customHeight="1" s="39">
      <c r="A553" s="44" t="inlineStr">
        <is>
          <t>Retired / not planned</t>
        </is>
      </c>
      <c r="B553" s="44" t="n"/>
      <c r="C553" s="44" t="inlineStr">
        <is>
          <t>Trojan Raider</t>
        </is>
      </c>
      <c r="D553" s="44" t="inlineStr">
        <is>
          <t>trojan-raider</t>
        </is>
      </c>
      <c r="E553" s="44" t="n"/>
      <c r="F553" s="44" t="inlineStr">
        <is>
          <t>Common</t>
        </is>
      </c>
      <c r="G553" s="44" t="n">
        <v>0</v>
      </c>
      <c r="H553" s="44" t="n">
        <v>0</v>
      </c>
      <c r="I553" s="44" t="n">
        <v>3</v>
      </c>
      <c r="J553" s="44" t="n">
        <v>5</v>
      </c>
      <c r="K553" s="45" t="inlineStr">
        <is>
          <t>Ambush</t>
        </is>
      </c>
      <c r="L553" s="44" t="n"/>
      <c r="M553" s="44" t="inlineStr">
        <is>
          <t>Mammal</t>
        </is>
      </c>
      <c r="N553" s="44" t="inlineStr">
        <is>
          <t>Mammal</t>
        </is>
      </c>
      <c r="O553" s="44" t="inlineStr">
        <is>
          <t>Village and farm</t>
        </is>
      </c>
      <c r="P553" s="45" t="inlineStr">
        <is>
          <t>Token: made by another card, never collected</t>
        </is>
      </c>
      <c r="Q553" s="44" t="inlineStr">
        <is>
          <t>Not planned</t>
        </is>
      </c>
    </row>
    <row r="554" ht="15" customHeight="1" s="39">
      <c r="A554" s="44" t="inlineStr">
        <is>
          <t>Retired / not planned</t>
        </is>
      </c>
      <c r="B554" s="44" t="n"/>
      <c r="C554" s="44" t="inlineStr">
        <is>
          <t>The Caldera Wyrm</t>
        </is>
      </c>
      <c r="D554" s="44" t="inlineStr">
        <is>
          <t>caldera-wyrm</t>
        </is>
      </c>
      <c r="E554" s="44" t="n"/>
      <c r="F554" s="44" t="inlineStr">
        <is>
          <t>Legendary</t>
        </is>
      </c>
      <c r="G554" s="44" t="n">
        <v>0</v>
      </c>
      <c r="H554" s="44" t="n">
        <v>1</v>
      </c>
      <c r="I554" s="44" t="n">
        <v>6</v>
      </c>
      <c r="J554" s="44" t="n">
        <v>36</v>
      </c>
      <c r="K554" s="45" t="inlineStr">
        <is>
          <t>Armor 2, Death Burst 5, Pounce 5</t>
        </is>
      </c>
      <c r="L554" s="44" t="n"/>
      <c r="M554" s="44" t="inlineStr">
        <is>
          <t>Dragon (Scaled)</t>
        </is>
      </c>
      <c r="N554" s="44" t="inlineStr">
        <is>
          <t>Dragon &amp; Wyrm</t>
        </is>
      </c>
      <c r="O554" s="44" t="inlineStr">
        <is>
          <t>Volcano</t>
        </is>
      </c>
      <c r="P554" s="45" t="inlineStr">
        <is>
          <t>World boss (a raid-style fight, out of this plan)</t>
        </is>
      </c>
      <c r="Q554" s="44" t="inlineStr">
        <is>
          <t>Not planned</t>
        </is>
      </c>
    </row>
    <row r="555" ht="15" customHeight="1" s="39">
      <c r="A555" s="48" t="inlineStr">
        <is>
          <t>New, not placed yet (2026-10-14)</t>
        </is>
      </c>
      <c r="B555" s="48" t="n">
        <v>1</v>
      </c>
      <c r="C555" s="48" t="inlineStr">
        <is>
          <t>Shallows Fry</t>
        </is>
      </c>
      <c r="D555" s="48" t="inlineStr">
        <is>
          <t>shallows-fry</t>
        </is>
      </c>
      <c r="E555" s="48" t="inlineStr">
        <is>
          <t>New</t>
        </is>
      </c>
      <c r="F555" s="48" t="inlineStr">
        <is>
          <t>common</t>
        </is>
      </c>
      <c r="G555" s="48" t="n">
        <v>0</v>
      </c>
      <c r="H555" s="48" t="n">
        <v>0</v>
      </c>
      <c r="I555" s="48" t="n">
        <v>1</v>
      </c>
      <c r="J555" s="48" t="n">
        <v>2</v>
      </c>
      <c r="K555" s="48" t="inlineStr">
        <is>
          <t>swimmer</t>
        </is>
      </c>
      <c r="L555" s="48" t="n"/>
      <c r="M555" s="48" t="inlineStr">
        <is>
          <t>Fish</t>
        </is>
      </c>
      <c r="N555" s="48" t="n"/>
      <c r="O555" s="48" t="n"/>
      <c r="P555" s="48" t="inlineStr">
        <is>
          <t>Suggested: Map 1 beginner (teaches Swimmer/Tide). Budget v2 at that map: N 12.2; scores 5 / 3 → within</t>
        </is>
      </c>
      <c r="Q555" s="48" t="n"/>
    </row>
    <row r="556" ht="15" customHeight="1" s="39">
      <c r="A556" s="48" t="inlineStr">
        <is>
          <t>New, not placed yet (2026-10-14)</t>
        </is>
      </c>
      <c r="B556" s="48" t="n">
        <v>22</v>
      </c>
      <c r="C556" s="48" t="inlineStr">
        <is>
          <t>Rabid Jackal</t>
        </is>
      </c>
      <c r="D556" s="48" t="inlineStr">
        <is>
          <t>rabid-jackal</t>
        </is>
      </c>
      <c r="E556" s="48" t="inlineStr">
        <is>
          <t>New</t>
        </is>
      </c>
      <c r="F556" s="48" t="inlineStr">
        <is>
          <t>uncommon</t>
        </is>
      </c>
      <c r="G556" s="48" t="n">
        <v>0</v>
      </c>
      <c r="H556" s="48" t="n">
        <v>0</v>
      </c>
      <c r="I556" s="48" t="n">
        <v>2</v>
      </c>
      <c r="J556" s="48" t="n">
        <v>3</v>
      </c>
      <c r="K556" s="48" t="inlineStr">
        <is>
          <t>rabid</t>
        </is>
      </c>
      <c r="L556" s="48" t="n"/>
      <c r="M556" s="48" t="inlineStr">
        <is>
          <t>Canid</t>
        </is>
      </c>
      <c r="N556" s="48" t="n"/>
      <c r="O556" s="48" t="n"/>
      <c r="P556" s="48" t="inlineStr">
        <is>
          <t>Suggested: Savanna fodder, Maps 20+. Budget v2 at that map: N 18.4; scores 8 / 7 → within</t>
        </is>
      </c>
      <c r="Q556" s="48" t="n"/>
    </row>
    <row r="557" ht="15" customHeight="1" s="39">
      <c r="A557" s="48" t="inlineStr">
        <is>
          <t>New, not placed yet (2026-10-14)</t>
        </is>
      </c>
      <c r="B557" s="48" t="n">
        <v>25</v>
      </c>
      <c r="C557" s="48" t="inlineStr">
        <is>
          <t>Mirrorhide Mutant</t>
        </is>
      </c>
      <c r="D557" s="48" t="inlineStr">
        <is>
          <t>mirrorhide-mutant</t>
        </is>
      </c>
      <c r="E557" s="48" t="inlineStr">
        <is>
          <t>New</t>
        </is>
      </c>
      <c r="F557" s="48" t="inlineStr">
        <is>
          <t>rare</t>
        </is>
      </c>
      <c r="G557" s="48" t="n">
        <v>0</v>
      </c>
      <c r="H557" s="48" t="n">
        <v>2</v>
      </c>
      <c r="I557" s="48" t="n">
        <v>4</v>
      </c>
      <c r="J557" s="48" t="n">
        <v>6</v>
      </c>
      <c r="K557" s="48" t="inlineStr">
        <is>
          <t>twin</t>
        </is>
      </c>
      <c r="L557" s="48" t="n"/>
      <c r="M557" s="48" t="inlineStr">
        <is>
          <t>Mammal</t>
        </is>
      </c>
      <c r="N557" s="48" t="n"/>
      <c r="O557" s="48" t="n"/>
      <c r="P557" s="48" t="inlineStr">
        <is>
          <t>Suggested: Mountain, Maps 20+. Budget v2 at that map: N 31; scores 15 / 25 → within</t>
        </is>
      </c>
      <c r="Q557" s="48" t="n"/>
    </row>
    <row r="558" ht="15" customHeight="1" s="39">
      <c r="A558" s="48" t="inlineStr">
        <is>
          <t>New, not placed yet (2026-10-14)</t>
        </is>
      </c>
      <c r="B558" s="48" t="n">
        <v>6</v>
      </c>
      <c r="C558" s="48" t="inlineStr">
        <is>
          <t>Vampire Bat</t>
        </is>
      </c>
      <c r="D558" s="48" t="inlineStr">
        <is>
          <t>vampire-bat</t>
        </is>
      </c>
      <c r="E558" s="48" t="inlineStr">
        <is>
          <t>New</t>
        </is>
      </c>
      <c r="F558" s="48" t="inlineStr">
        <is>
          <t>uncommon</t>
        </is>
      </c>
      <c r="G558" s="48" t="n">
        <v>0</v>
      </c>
      <c r="H558" s="48" t="n">
        <v>1</v>
      </c>
      <c r="I558" s="48" t="n">
        <v>3</v>
      </c>
      <c r="J558" s="48" t="n">
        <v>4</v>
      </c>
      <c r="K558" s="48" t="inlineStr">
        <is>
          <t>flying, nocturnal, sap</t>
        </is>
      </c>
      <c r="L558" s="48" t="n"/>
      <c r="M558" s="48" t="inlineStr">
        <is>
          <t>Bat</t>
        </is>
      </c>
      <c r="N558" s="48" t="n"/>
      <c r="O558" s="48" t="n"/>
      <c r="P558" s="48" t="inlineStr">
        <is>
          <t>Suggested: Swamp (shared with Cave). Budget v2 at that map: N 20.2; scores 18 / 21 → over (fits at 2/4)</t>
        </is>
      </c>
      <c r="Q558" s="48" t="n"/>
    </row>
    <row r="559" ht="15" customHeight="1" s="39">
      <c r="A559" s="48" t="inlineStr">
        <is>
          <t>New, not placed yet (2026-10-14)</t>
        </is>
      </c>
      <c r="B559" s="48" t="n">
        <v>51</v>
      </c>
      <c r="C559" s="48" t="inlineStr">
        <is>
          <t>Wandering Mage</t>
        </is>
      </c>
      <c r="D559" s="48" t="inlineStr">
        <is>
          <t>wandering-mage</t>
        </is>
      </c>
      <c r="E559" s="48" t="inlineStr">
        <is>
          <t>New</t>
        </is>
      </c>
      <c r="F559" s="48" t="inlineStr">
        <is>
          <t>rare</t>
        </is>
      </c>
      <c r="G559" s="48" t="n">
        <v>0</v>
      </c>
      <c r="H559" s="48" t="n">
        <v>3</v>
      </c>
      <c r="I559" s="48" t="n">
        <v>5</v>
      </c>
      <c r="J559" s="48" t="n">
        <v>12</v>
      </c>
      <c r="K559" s="48" t="inlineStr">
        <is>
          <t>leader, magic, triggers</t>
        </is>
      </c>
      <c r="L559" s="48" t="n"/>
      <c r="M559" s="48" t="inlineStr">
        <is>
          <t>Feline</t>
        </is>
      </c>
      <c r="N559" s="48" t="n"/>
      <c r="O559" s="48" t="n"/>
      <c r="P559" s="48" t="inlineStr">
        <is>
          <t>Suggested: Free leader at Map 51. Budget v2 at that map: N 41.2; scores 24 / 62 → over (fits at 3/12)</t>
        </is>
      </c>
      <c r="Q559" s="48" t="n"/>
    </row>
    <row r="560" ht="15" customHeight="1" s="39">
      <c r="A560" s="48" t="inlineStr">
        <is>
          <t>New, not placed yet (2026-10-14)</t>
        </is>
      </c>
      <c r="B560" s="48" t="n"/>
      <c r="C560" s="48" t="inlineStr">
        <is>
          <t>Woodland Egg</t>
        </is>
      </c>
      <c r="D560" s="48" t="inlineStr">
        <is>
          <t>egg-woodland</t>
        </is>
      </c>
      <c r="E560" s="48" t="inlineStr">
        <is>
          <t>New</t>
        </is>
      </c>
      <c r="F560" s="48" t="inlineStr">
        <is>
          <t>common</t>
        </is>
      </c>
      <c r="G560" s="48" t="n">
        <v>0</v>
      </c>
      <c r="H560" s="48" t="n">
        <v>7</v>
      </c>
      <c r="I560" s="48" t="n">
        <v>0</v>
      </c>
      <c r="J560" s="48" t="n">
        <v>4</v>
      </c>
      <c r="K560" s="48" t="n"/>
      <c r="L560" s="48" t="n"/>
      <c r="M560" s="48" t="n"/>
      <c r="N560" s="48" t="n"/>
      <c r="O560" s="48" t="n"/>
      <c r="P560" s="48" t="inlineStr">
        <is>
          <t>Suggested: Nest egg card. Budget v2 at that map: N 47; scores 4 / 0 → within</t>
        </is>
      </c>
      <c r="Q560" s="48" t="n"/>
    </row>
    <row r="561" ht="15" customHeight="1" s="39">
      <c r="A561" s="48" t="inlineStr">
        <is>
          <t>New, not placed yet (2026-10-14)</t>
        </is>
      </c>
      <c r="B561" s="48" t="n"/>
      <c r="C561" s="48" t="inlineStr">
        <is>
          <t>Speckled Egg</t>
        </is>
      </c>
      <c r="D561" s="48" t="inlineStr">
        <is>
          <t>egg-bird</t>
        </is>
      </c>
      <c r="E561" s="48" t="inlineStr">
        <is>
          <t>New</t>
        </is>
      </c>
      <c r="F561" s="48" t="inlineStr">
        <is>
          <t>uncommon</t>
        </is>
      </c>
      <c r="G561" s="48" t="n">
        <v>0</v>
      </c>
      <c r="H561" s="48" t="n">
        <v>8</v>
      </c>
      <c r="I561" s="48" t="n">
        <v>0</v>
      </c>
      <c r="J561" s="48" t="n">
        <v>3</v>
      </c>
      <c r="K561" s="48" t="n"/>
      <c r="L561" s="48" t="n"/>
      <c r="M561" s="48" t="n"/>
      <c r="N561" s="48" t="n"/>
      <c r="O561" s="48" t="n"/>
      <c r="P561" s="48" t="inlineStr">
        <is>
          <t>Suggested: Nest egg card. Budget v2 at that map: N 54; scores 3 / 0 → within</t>
        </is>
      </c>
      <c r="Q561" s="48" t="n"/>
    </row>
    <row r="562" ht="15" customHeight="1" s="39">
      <c r="A562" s="48" t="inlineStr">
        <is>
          <t>New, not placed yet (2026-10-14)</t>
        </is>
      </c>
      <c r="B562" s="48" t="n"/>
      <c r="C562" s="48" t="inlineStr">
        <is>
          <t>River Bundle</t>
        </is>
      </c>
      <c r="D562" s="48" t="inlineStr">
        <is>
          <t>egg-otter</t>
        </is>
      </c>
      <c r="E562" s="48" t="inlineStr">
        <is>
          <t>New</t>
        </is>
      </c>
      <c r="F562" s="48" t="inlineStr">
        <is>
          <t>uncommon</t>
        </is>
      </c>
      <c r="G562" s="48" t="n">
        <v>0</v>
      </c>
      <c r="H562" s="48" t="n">
        <v>8</v>
      </c>
      <c r="I562" s="48" t="n">
        <v>0</v>
      </c>
      <c r="J562" s="48" t="n">
        <v>5</v>
      </c>
      <c r="K562" s="48" t="n"/>
      <c r="L562" s="48" t="n"/>
      <c r="M562" s="48" t="n"/>
      <c r="N562" s="48" t="n"/>
      <c r="O562" s="48" t="n"/>
      <c r="P562" s="48" t="inlineStr">
        <is>
          <t>Suggested: Nest egg card. Budget v2 at that map: N 54; scores 5 / 0 → within</t>
        </is>
      </c>
      <c r="Q562" s="48" t="n"/>
    </row>
    <row r="563" ht="15" customHeight="1" s="39">
      <c r="A563" s="48" t="inlineStr">
        <is>
          <t>New, not placed yet (2026-10-14)</t>
        </is>
      </c>
      <c r="B563" s="48" t="n"/>
      <c r="C563" s="48" t="inlineStr">
        <is>
          <t>Leathery Egg</t>
        </is>
      </c>
      <c r="D563" s="48" t="inlineStr">
        <is>
          <t>egg-scaly</t>
        </is>
      </c>
      <c r="E563" s="48" t="inlineStr">
        <is>
          <t>New</t>
        </is>
      </c>
      <c r="F563" s="48" t="inlineStr">
        <is>
          <t>uncommon</t>
        </is>
      </c>
      <c r="G563" s="48" t="n">
        <v>0</v>
      </c>
      <c r="H563" s="48" t="n">
        <v>10</v>
      </c>
      <c r="I563" s="48" t="n">
        <v>0</v>
      </c>
      <c r="J563" s="48" t="n">
        <v>6</v>
      </c>
      <c r="K563" s="48" t="n"/>
      <c r="L563" s="48" t="n"/>
      <c r="M563" s="48" t="n"/>
      <c r="N563" s="48" t="n"/>
      <c r="O563" s="48" t="n"/>
      <c r="P563" s="48" t="inlineStr">
        <is>
          <t>Suggested: Nest egg card. Budget v2 at that map: N 64; scores 6 / 0 → within</t>
        </is>
      </c>
      <c r="Q563" s="48" t="n"/>
    </row>
    <row r="564" ht="15" customHeight="1" s="39">
      <c r="A564" s="48" t="inlineStr">
        <is>
          <t>New, not placed yet (2026-10-14)</t>
        </is>
      </c>
      <c r="B564" s="48" t="n"/>
      <c r="C564" s="48" t="inlineStr">
        <is>
          <t>Cocoon</t>
        </is>
      </c>
      <c r="D564" s="48" t="inlineStr">
        <is>
          <t>egg-bug</t>
        </is>
      </c>
      <c r="E564" s="48" t="inlineStr">
        <is>
          <t>New</t>
        </is>
      </c>
      <c r="F564" s="48" t="inlineStr">
        <is>
          <t>uncommon</t>
        </is>
      </c>
      <c r="G564" s="48" t="n">
        <v>0</v>
      </c>
      <c r="H564" s="48" t="n">
        <v>5</v>
      </c>
      <c r="I564" s="48" t="n">
        <v>0</v>
      </c>
      <c r="J564" s="48" t="n">
        <v>3</v>
      </c>
      <c r="K564" s="48" t="n"/>
      <c r="L564" s="48" t="n"/>
      <c r="M564" s="48" t="n"/>
      <c r="N564" s="48" t="n"/>
      <c r="O564" s="48" t="n"/>
      <c r="P564" s="48" t="inlineStr">
        <is>
          <t>Suggested: Nest egg card. Budget v2 at that map: N 39; scores 3 / 0 → within</t>
        </is>
      </c>
      <c r="Q564" s="48" t="n"/>
    </row>
    <row r="565" ht="15" customHeight="1" s="39">
      <c r="A565" s="48" t="inlineStr">
        <is>
          <t>New, not placed yet (2026-10-14)</t>
        </is>
      </c>
      <c r="B565" s="48" t="n"/>
      <c r="C565" s="48" t="inlineStr">
        <is>
          <t>Roe Pearl</t>
        </is>
      </c>
      <c r="D565" s="48" t="inlineStr">
        <is>
          <t>egg-water</t>
        </is>
      </c>
      <c r="E565" s="48" t="inlineStr">
        <is>
          <t>New</t>
        </is>
      </c>
      <c r="F565" s="48" t="inlineStr">
        <is>
          <t>uncommon</t>
        </is>
      </c>
      <c r="G565" s="48" t="n">
        <v>0</v>
      </c>
      <c r="H565" s="48" t="n">
        <v>6</v>
      </c>
      <c r="I565" s="48" t="n">
        <v>0</v>
      </c>
      <c r="J565" s="48" t="n">
        <v>3</v>
      </c>
      <c r="K565" s="48" t="n"/>
      <c r="L565" s="48" t="n"/>
      <c r="M565" s="48" t="n"/>
      <c r="N565" s="48" t="n"/>
      <c r="O565" s="48" t="n"/>
      <c r="P565" s="48" t="inlineStr">
        <is>
          <t>Suggested: Nest egg card. Budget v2 at that map: N 44; scores 3 / 0 → within</t>
        </is>
      </c>
      <c r="Q565" s="48" t="n"/>
    </row>
    <row r="566" ht="15" customHeight="1" s="39">
      <c r="A566" s="48" t="inlineStr">
        <is>
          <t>New, not placed yet (2026-10-14)</t>
        </is>
      </c>
      <c r="B566" s="48" t="n"/>
      <c r="C566" s="48" t="inlineStr">
        <is>
          <t>Den Bundle</t>
        </is>
      </c>
      <c r="D566" s="48" t="inlineStr">
        <is>
          <t>egg-beast</t>
        </is>
      </c>
      <c r="E566" s="48" t="inlineStr">
        <is>
          <t>New</t>
        </is>
      </c>
      <c r="F566" s="48" t="inlineStr">
        <is>
          <t>uncommon</t>
        </is>
      </c>
      <c r="G566" s="48" t="n">
        <v>0</v>
      </c>
      <c r="H566" s="48" t="n">
        <v>9</v>
      </c>
      <c r="I566" s="48" t="n">
        <v>0</v>
      </c>
      <c r="J566" s="48" t="n">
        <v>5</v>
      </c>
      <c r="K566" s="48" t="n"/>
      <c r="L566" s="48" t="n"/>
      <c r="M566" s="48" t="n"/>
      <c r="N566" s="48" t="n"/>
      <c r="O566" s="48" t="n"/>
      <c r="P566" s="48" t="inlineStr">
        <is>
          <t>Suggested: Nest egg card. Budget v2 at that map: N 59; scores 5 / 0 → within</t>
        </is>
      </c>
      <c r="Q566" s="48" t="n"/>
    </row>
    <row r="567" ht="15" customHeight="1" s="39">
      <c r="A567" s="48" t="inlineStr">
        <is>
          <t>New, not placed yet (2026-10-14)</t>
        </is>
      </c>
      <c r="B567" s="48" t="n">
        <v>22</v>
      </c>
      <c r="C567" s="48" t="inlineStr">
        <is>
          <t>Rafflesia</t>
        </is>
      </c>
      <c r="D567" s="48" t="inlineStr">
        <is>
          <t>rafflesia</t>
        </is>
      </c>
      <c r="E567" s="48" t="inlineStr">
        <is>
          <t>New</t>
        </is>
      </c>
      <c r="F567" s="48" t="inlineStr">
        <is>
          <t>rare</t>
        </is>
      </c>
      <c r="G567" s="48" t="n">
        <v>1</v>
      </c>
      <c r="H567" s="48" t="n">
        <v>0</v>
      </c>
      <c r="I567" s="48" t="n">
        <v>0</v>
      </c>
      <c r="J567" s="48" t="n">
        <v>13</v>
      </c>
      <c r="K567" s="48" t="inlineStr">
        <is>
          <t>triggers</t>
        </is>
      </c>
      <c r="L567" s="48" t="n"/>
      <c r="M567" s="48" t="inlineStr">
        <is>
          <t>Plant</t>
        </is>
      </c>
      <c r="N567" s="48" t="n"/>
      <c r="O567" s="48" t="n"/>
      <c r="P567" s="48" t="inlineStr">
        <is>
          <t>Suggested: Flora, Maps 20+. Budget v2 at that map: N 24.4; scores 14 / 1 → within</t>
        </is>
      </c>
      <c r="Q567" s="48" t="n"/>
    </row>
    <row r="568" ht="15" customHeight="1" s="39">
      <c r="A568" s="48" t="inlineStr">
        <is>
          <t>New, not placed yet (2026-10-14)</t>
        </is>
      </c>
      <c r="B568" s="48" t="n">
        <v>22</v>
      </c>
      <c r="C568" s="48" t="inlineStr">
        <is>
          <t>Puffball Bombardier</t>
        </is>
      </c>
      <c r="D568" s="48" t="inlineStr">
        <is>
          <t>puffball-bombardier</t>
        </is>
      </c>
      <c r="E568" s="48" t="inlineStr">
        <is>
          <t>New</t>
        </is>
      </c>
      <c r="F568" s="48" t="inlineStr">
        <is>
          <t>uncommon</t>
        </is>
      </c>
      <c r="G568" s="48" t="n">
        <v>0</v>
      </c>
      <c r="H568" s="48" t="n">
        <v>1</v>
      </c>
      <c r="I568" s="48" t="n">
        <v>1</v>
      </c>
      <c r="J568" s="48" t="n">
        <v>8</v>
      </c>
      <c r="K568" s="48" t="inlineStr">
        <is>
          <t>arrow, poison</t>
        </is>
      </c>
      <c r="L568" s="48" t="n"/>
      <c r="M568" s="48" t="inlineStr">
        <is>
          <t>Elemental</t>
        </is>
      </c>
      <c r="N568" s="48" t="n"/>
      <c r="O568" s="48" t="n"/>
      <c r="P568" s="48" t="inlineStr">
        <is>
          <t>Suggested: Flora / Mycelium, Maps 20+. Budget v2 at that map: N 23.4; scores 12 / 10 → within</t>
        </is>
      </c>
      <c r="Q568" s="48" t="n"/>
    </row>
    <row r="569" ht="15" customHeight="1" s="39">
      <c r="A569" s="48" t="inlineStr">
        <is>
          <t>New, not placed yet (2026-10-14)</t>
        </is>
      </c>
      <c r="B569" s="48" t="n"/>
      <c r="C569" s="48" t="inlineStr">
        <is>
          <t>Otter Angler</t>
        </is>
      </c>
      <c r="D569" s="48" t="inlineStr">
        <is>
          <t>otter-angler</t>
        </is>
      </c>
      <c r="E569" s="48" t="inlineStr">
        <is>
          <t>New</t>
        </is>
      </c>
      <c r="F569" s="48" t="inlineStr">
        <is>
          <t>common</t>
        </is>
      </c>
      <c r="G569" s="48" t="n">
        <v>0</v>
      </c>
      <c r="H569" s="48" t="n">
        <v>1</v>
      </c>
      <c r="I569" s="48" t="n">
        <v>1</v>
      </c>
      <c r="J569" s="48" t="n">
        <v>7</v>
      </c>
      <c r="K569" s="48" t="inlineStr">
        <is>
          <t>swimmer, triggers</t>
        </is>
      </c>
      <c r="L569" s="48" t="n"/>
      <c r="M569" s="48" t="inlineStr">
        <is>
          <t>Mustelid</t>
        </is>
      </c>
      <c r="N569" s="48" t="n"/>
      <c r="O569" s="48" t="n"/>
      <c r="P569" s="48" t="inlineStr">
        <is>
          <t>Suggested: Otters faction. Budget v2 at that map: N 17; scores 11 / 9 → within</t>
        </is>
      </c>
      <c r="Q569" s="48" t="n"/>
    </row>
    <row r="570" ht="15" customHeight="1" s="39">
      <c r="A570" s="48" t="inlineStr">
        <is>
          <t>New, not placed yet (2026-10-14)</t>
        </is>
      </c>
      <c r="B570" s="48" t="n"/>
      <c r="C570" s="48" t="inlineStr">
        <is>
          <t>Honeyjoe Brewer</t>
        </is>
      </c>
      <c r="D570" s="48" t="inlineStr">
        <is>
          <t>honeyjoe-brewer</t>
        </is>
      </c>
      <c r="E570" s="48" t="inlineStr">
        <is>
          <t>New</t>
        </is>
      </c>
      <c r="F570" s="48" t="inlineStr">
        <is>
          <t>uncommon</t>
        </is>
      </c>
      <c r="G570" s="48" t="n">
        <v>0</v>
      </c>
      <c r="H570" s="48" t="n">
        <v>0</v>
      </c>
      <c r="I570" s="48" t="n">
        <v>1</v>
      </c>
      <c r="J570" s="48" t="n">
        <v>5</v>
      </c>
      <c r="K570" s="48" t="inlineStr">
        <is>
          <t>flying, coffee, kinship</t>
        </is>
      </c>
      <c r="L570" s="48" t="n"/>
      <c r="M570" s="48" t="inlineStr">
        <is>
          <t>Bird</t>
        </is>
      </c>
      <c r="N570" s="48" t="n"/>
      <c r="O570" s="48" t="n"/>
      <c r="P570" s="48" t="inlineStr">
        <is>
          <t>Suggested: Hummingbirds faction. Budget v2 at that map: N 14; scores 13.5 / 10.5 → within</t>
        </is>
      </c>
      <c r="Q570" s="48" t="n"/>
    </row>
    <row r="571" ht="15" customHeight="1" s="39">
      <c r="A571" s="48" t="inlineStr">
        <is>
          <t>New, not placed yet (2026-10-14)</t>
        </is>
      </c>
      <c r="B571" s="48" t="n">
        <v>8</v>
      </c>
      <c r="C571" s="48" t="inlineStr">
        <is>
          <t>Voltwing Bat</t>
        </is>
      </c>
      <c r="D571" s="48" t="inlineStr">
        <is>
          <t>voltwing-bat</t>
        </is>
      </c>
      <c r="E571" s="48" t="inlineStr">
        <is>
          <t>New</t>
        </is>
      </c>
      <c r="F571" s="48" t="inlineStr">
        <is>
          <t>common</t>
        </is>
      </c>
      <c r="G571" s="48" t="n">
        <v>0</v>
      </c>
      <c r="H571" s="48" t="n">
        <v>1</v>
      </c>
      <c r="I571" s="48" t="n">
        <v>2</v>
      </c>
      <c r="J571" s="48" t="n">
        <v>4</v>
      </c>
      <c r="K571" s="48" t="inlineStr">
        <is>
          <t>flying, nocturnal, electricity</t>
        </is>
      </c>
      <c r="L571" s="48" t="n"/>
      <c r="M571" s="48" t="inlineStr">
        <is>
          <t>Bat</t>
        </is>
      </c>
      <c r="N571" s="48" t="n"/>
      <c r="O571" s="48" t="n"/>
      <c r="P571" s="48" t="inlineStr">
        <is>
          <t>Suggested: Cave (Electricity). Budget v2 at that map: N 18.6; scores 15 / 15 → within</t>
        </is>
      </c>
      <c r="Q571" s="48" t="n"/>
    </row>
    <row r="572" ht="15" customHeight="1" s="39">
      <c r="A572" s="48" t="inlineStr">
        <is>
          <t>New, not placed yet (2026-10-14)</t>
        </is>
      </c>
      <c r="B572" s="48" t="n">
        <v>8</v>
      </c>
      <c r="C572" s="48" t="inlineStr">
        <is>
          <t>Static Bat</t>
        </is>
      </c>
      <c r="D572" s="48" t="inlineStr">
        <is>
          <t>static-bat</t>
        </is>
      </c>
      <c r="E572" s="48" t="inlineStr">
        <is>
          <t>New</t>
        </is>
      </c>
      <c r="F572" s="48" t="inlineStr">
        <is>
          <t>uncommon</t>
        </is>
      </c>
      <c r="G572" s="48" t="n">
        <v>1</v>
      </c>
      <c r="H572" s="48" t="n">
        <v>1</v>
      </c>
      <c r="I572" s="48" t="n">
        <v>2</v>
      </c>
      <c r="J572" s="48" t="n">
        <v>6</v>
      </c>
      <c r="K572" s="48" t="inlineStr">
        <is>
          <t>flying, nocturnal, electricity</t>
        </is>
      </c>
      <c r="L572" s="48" t="n"/>
      <c r="M572" s="48" t="inlineStr">
        <is>
          <t>Bat</t>
        </is>
      </c>
      <c r="N572" s="48" t="n"/>
      <c r="O572" s="48" t="n"/>
      <c r="P572" s="48" t="inlineStr">
        <is>
          <t>Suggested: Cave (Electricity). Budget v2 at that map: N 24.6; scores 18 / 21 → within</t>
        </is>
      </c>
      <c r="Q572" s="48" t="n"/>
    </row>
    <row r="573" ht="15" customHeight="1" s="39">
      <c r="A573" s="48" t="inlineStr">
        <is>
          <t>New, not placed yet (2026-10-14)</t>
        </is>
      </c>
      <c r="B573" s="48" t="n">
        <v>8</v>
      </c>
      <c r="C573" s="48" t="inlineStr">
        <is>
          <t>Arc Bat</t>
        </is>
      </c>
      <c r="D573" s="48" t="inlineStr">
        <is>
          <t>arc-bat</t>
        </is>
      </c>
      <c r="E573" s="48" t="inlineStr">
        <is>
          <t>New</t>
        </is>
      </c>
      <c r="F573" s="48" t="inlineStr">
        <is>
          <t>rare</t>
        </is>
      </c>
      <c r="G573" s="48" t="n">
        <v>1</v>
      </c>
      <c r="H573" s="48" t="n">
        <v>2</v>
      </c>
      <c r="I573" s="48" t="n">
        <v>3</v>
      </c>
      <c r="J573" s="48" t="n">
        <v>7</v>
      </c>
      <c r="K573" s="48" t="inlineStr">
        <is>
          <t>flying, nocturnal, electricity</t>
        </is>
      </c>
      <c r="L573" s="48" t="n"/>
      <c r="M573" s="48" t="inlineStr">
        <is>
          <t>Bat</t>
        </is>
      </c>
      <c r="N573" s="48" t="n"/>
      <c r="O573" s="48" t="n"/>
      <c r="P573" s="48" t="inlineStr">
        <is>
          <t>Suggested: Cave (Electricity). Budget v2 at that map: N 31.6; scores 24 / 36 → over (fits at 2/7)</t>
        </is>
      </c>
      <c r="Q573" s="48" t="n"/>
    </row>
    <row r="574" ht="15" customHeight="1" s="39">
      <c r="A574" s="48" t="inlineStr">
        <is>
          <t>New, not placed yet (2026-10-14)</t>
        </is>
      </c>
      <c r="B574" s="48" t="n">
        <v>9</v>
      </c>
      <c r="C574" s="48" t="inlineStr">
        <is>
          <t>Hammerhead Shark</t>
        </is>
      </c>
      <c r="D574" s="48" t="inlineStr">
        <is>
          <t>hammerhead-shark</t>
        </is>
      </c>
      <c r="E574" s="48" t="inlineStr">
        <is>
          <t>New</t>
        </is>
      </c>
      <c r="F574" s="48" t="inlineStr">
        <is>
          <t>common</t>
        </is>
      </c>
      <c r="G574" s="48" t="n">
        <v>2</v>
      </c>
      <c r="H574" s="48" t="n">
        <v>2</v>
      </c>
      <c r="I574" s="48" t="n">
        <v>4</v>
      </c>
      <c r="J574" s="48" t="n">
        <v>12</v>
      </c>
      <c r="K574" s="48" t="inlineStr">
        <is>
          <t>swimmer, sweep</t>
        </is>
      </c>
      <c r="L574" s="48" t="n"/>
      <c r="M574" s="48" t="inlineStr">
        <is>
          <t>Fish</t>
        </is>
      </c>
      <c r="N574" s="48" t="n"/>
      <c r="O574" s="48" t="n"/>
      <c r="P574" s="48" t="inlineStr">
        <is>
          <t>Suggested: Ocean fodder. Budget v2 at that map: N 31.8; scores 22 / 50 → over (fits at 3/9)</t>
        </is>
      </c>
      <c r="Q574" s="48" t="n"/>
    </row>
    <row r="575" ht="15" customHeight="1" s="39">
      <c r="A575" s="48" t="inlineStr">
        <is>
          <t>New, not placed yet (2026-10-14)</t>
        </is>
      </c>
      <c r="B575" s="48" t="n">
        <v>22</v>
      </c>
      <c r="C575" s="48" t="inlineStr">
        <is>
          <t>Ironback Gorilla</t>
        </is>
      </c>
      <c r="D575" s="48" t="inlineStr">
        <is>
          <t>ironback-gorilla</t>
        </is>
      </c>
      <c r="E575" s="48" t="inlineStr">
        <is>
          <t>New</t>
        </is>
      </c>
      <c r="F575" s="48" t="inlineStr">
        <is>
          <t>rare</t>
        </is>
      </c>
      <c r="G575" s="48" t="n">
        <v>3</v>
      </c>
      <c r="H575" s="48" t="n">
        <v>4</v>
      </c>
      <c r="I575" s="48" t="n">
        <v>8</v>
      </c>
      <c r="J575" s="48" t="n">
        <v>20</v>
      </c>
      <c r="K575" s="48" t="inlineStr">
        <is>
          <t>bludgeon</t>
        </is>
      </c>
      <c r="L575" s="48" t="n"/>
      <c r="M575" s="48" t="inlineStr">
        <is>
          <t>Primate</t>
        </is>
      </c>
      <c r="N575" s="48" t="n"/>
      <c r="O575" s="48" t="n"/>
      <c r="P575" s="48" t="inlineStr">
        <is>
          <t>Suggested: Maps 20+ bruiser (Bludgeon). Budget v2 at that map: N 52.4; scores 37 / 161 → over (fits at 4/12)</t>
        </is>
      </c>
      <c r="Q575" s="48" t="n"/>
    </row>
    <row r="576" ht="15" customHeight="1" s="39">
      <c r="A576" s="48" t="inlineStr">
        <is>
          <t>New, not placed yet (2026-10-14)</t>
        </is>
      </c>
      <c r="B576" s="48" t="n"/>
      <c r="C576" s="48" t="inlineStr">
        <is>
          <t>Smokescreen Raccoon</t>
        </is>
      </c>
      <c r="D576" s="48" t="inlineStr">
        <is>
          <t>smoke-raccoon</t>
        </is>
      </c>
      <c r="E576" s="48" t="inlineStr">
        <is>
          <t>New</t>
        </is>
      </c>
      <c r="F576" s="48" t="inlineStr">
        <is>
          <t>uncommon</t>
        </is>
      </c>
      <c r="G576" s="48" t="n">
        <v>1</v>
      </c>
      <c r="H576" s="48" t="n">
        <v>1</v>
      </c>
      <c r="I576" s="48" t="n">
        <v>3</v>
      </c>
      <c r="J576" s="48" t="n">
        <v>7</v>
      </c>
      <c r="K576" s="48" t="inlineStr">
        <is>
          <t>smokeBomb</t>
        </is>
      </c>
      <c r="L576" s="48" t="n"/>
      <c r="M576" s="48" t="inlineStr">
        <is>
          <t>Procyonid</t>
        </is>
      </c>
      <c r="N576" s="48" t="n"/>
      <c r="O576" s="48" t="n"/>
      <c r="P576" s="48" t="inlineStr">
        <is>
          <t>Suggested: Base (trickster). Budget v2 at that map: N 23; scores 14 / 22 → within</t>
        </is>
      </c>
      <c r="Q576" s="48" t="n"/>
    </row>
    <row r="577" ht="15" customHeight="1" s="39">
      <c r="A577" s="48" t="inlineStr">
        <is>
          <t>New, not placed yet (2026-10-14)</t>
        </is>
      </c>
      <c r="B577" s="48" t="n"/>
      <c r="C577" s="48" t="inlineStr">
        <is>
          <t>Blister Beetle</t>
        </is>
      </c>
      <c r="D577" s="48" t="inlineStr">
        <is>
          <t>blister-beetle</t>
        </is>
      </c>
      <c r="E577" s="48" t="inlineStr">
        <is>
          <t>New</t>
        </is>
      </c>
      <c r="F577" s="48" t="inlineStr">
        <is>
          <t>common</t>
        </is>
      </c>
      <c r="G577" s="48" t="n">
        <v>0</v>
      </c>
      <c r="H577" s="48" t="n">
        <v>1</v>
      </c>
      <c r="I577" s="48" t="n">
        <v>1</v>
      </c>
      <c r="J577" s="48" t="n">
        <v>5</v>
      </c>
      <c r="K577" s="48" t="inlineStr">
        <is>
          <t>triggers</t>
        </is>
      </c>
      <c r="L577" s="48" t="n"/>
      <c r="M577" s="48" t="inlineStr">
        <is>
          <t>Insect</t>
        </is>
      </c>
      <c r="N577" s="48" t="n"/>
      <c r="O577" s="48" t="n"/>
      <c r="P577" s="48" t="inlineStr">
        <is>
          <t>Suggested: Base (forest insects). Budget v2 at that map: N 17; scores 8 / 6 → within</t>
        </is>
      </c>
      <c r="Q577" s="48" t="n"/>
    </row>
  </sheetData>
  <autoFilter ref="A1:Q55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2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38" min="1" max="1"/>
    <col width="40" customWidth="1" style="38" min="2" max="2"/>
    <col width="24" customWidth="1" style="38" min="3" max="3"/>
    <col width="30" customWidth="1" style="38" min="4" max="4"/>
    <col width="46" customWidth="1" style="38" min="5" max="5"/>
    <col width="60" customWidth="1" style="38" min="6" max="6"/>
    <col width="10" customWidth="1" style="38" min="7" max="7"/>
    <col width="40" customWidth="1" style="38" min="8" max="8"/>
  </cols>
  <sheetData>
    <row r="1" ht="17.25" customHeight="1" s="39">
      <c r="A1" s="49" t="inlineStr">
        <is>
          <t>Skill curriculum: what each map teaches</t>
        </is>
      </c>
    </row>
    <row r="2" ht="15" customHeight="1" s="39">
      <c r="A2" s="50" t="inlineStr">
        <is>
          <t>Each map introduces 1–3 skills, simplest first, on its 4 unique cards (enemies field them first, then they become rewards). This is the plan we want for the game, not what the game does today.</t>
        </is>
      </c>
    </row>
    <row r="4" ht="30" customHeight="1" s="39">
      <c r="A4" s="40" t="inlineStr">
        <is>
          <t>Map no.</t>
        </is>
      </c>
      <c r="B4" s="40" t="inlineStr">
        <is>
          <t>Map</t>
        </is>
      </c>
      <c r="C4" s="40" t="inlineStr">
        <is>
          <t>Biome / theme</t>
        </is>
      </c>
      <c r="D4" s="40" t="inlineStr">
        <is>
          <t>Skills taught here (new)</t>
        </is>
      </c>
      <c r="E4" s="40" t="inlineStr">
        <is>
          <t>Cards that teach them</t>
        </is>
      </c>
      <c r="F4" s="40" t="inlineStr">
        <is>
          <t>The lesson in a line</t>
        </is>
      </c>
      <c r="G4" s="40" t="inlineStr">
        <is>
          <t>Unique cards on this map</t>
        </is>
      </c>
      <c r="H4" s="40" t="inlineStr">
        <is>
          <t>Skills also seen on this biome's fodder</t>
        </is>
      </c>
    </row>
    <row r="5" ht="34.5" customHeight="1" s="39">
      <c r="A5" s="51" t="inlineStr">
        <is>
          <t>T</t>
        </is>
      </c>
      <c r="B5" s="51" t="inlineStr">
        <is>
          <t>Tutorial</t>
        </is>
      </c>
      <c r="C5" s="51" t="inlineStr">
        <is>
          <t>Castle grounds</t>
        </is>
      </c>
      <c r="D5" s="52" t="inlineStr">
        <is>
          <t>Attack, Health, Wait, Lumber and pitching, the Leader, Bounty (kills pay Lumber)</t>
        </is>
      </c>
      <c r="E5" s="51" t="inlineStr">
        <is>
          <t>Base cards; River Warden or Sunspire Envoy as the reward</t>
        </is>
      </c>
      <c r="F5" s="51" t="inlineStr">
        <is>
          <t>Rules first, no skills: the stats, the Wait ring, paying with Lumber.</t>
        </is>
      </c>
      <c r="G5" s="51">
        <f>COUNTIF(Plan!$A$2:$A$554,"Tutorial")</f>
        <v/>
      </c>
      <c r="H5" s="51" t="n"/>
    </row>
    <row r="6" ht="57" customHeight="1" s="39">
      <c r="A6" s="51" t="inlineStr">
        <is>
          <t>—</t>
        </is>
      </c>
      <c r="B6" s="51" t="inlineStr">
        <is>
          <t>Your own deck (Base cards and your ally pack)</t>
        </is>
      </c>
      <c r="C6" s="51" t="inlineStr">
        <is>
          <t>—</t>
        </is>
      </c>
      <c r="D6" s="52" t="inlineStr">
        <is>
          <t>Hive Mind, Swimmer, Draw, Natural Leader, Reach, Inspiring, Esprit, Coffee, Counterattack, Spiteful, Boomerang, Kinship, Helmet, Lantern, Pierce, Bloom</t>
        </is>
      </c>
      <c r="E6" s="51" t="inlineStr">
        <is>
          <t>Base and faction cards carry these from the start; the coach tip explains each one the first time it fires.</t>
        </is>
      </c>
      <c r="F6" s="51" t="inlineStr">
        <is>
          <t>Learned by playing your own cards rather than from a map.</t>
        </is>
      </c>
      <c r="G6" s="51" t="n"/>
      <c r="H6" s="51" t="n"/>
    </row>
    <row r="7" ht="23.25" customHeight="1" s="39">
      <c r="A7" s="51" t="n">
        <v>0</v>
      </c>
      <c r="B7" s="51" t="inlineStr">
        <is>
          <t>Bramblewood Outskirts</t>
        </is>
      </c>
      <c r="C7" s="51" t="inlineStr">
        <is>
          <t>Forest edge</t>
        </is>
      </c>
      <c r="D7" s="52" t="inlineStr">
        <is>
          <t>Flying, Swarm, Regeneration</t>
        </is>
      </c>
      <c r="E7" s="51" t="inlineStr">
        <is>
          <t>Earthworm (Regeneration); Soldier Ant (Swarm); Pigeon Peon (Flying); Bramble Hoglet (Regeneration)</t>
        </is>
      </c>
      <c r="F7" s="51" t="inlineStr">
        <is>
          <t>The worm, the ants and the first flyers: the three ideas you meet before anything else.</t>
        </is>
      </c>
      <c r="G7" s="51">
        <f>COUNTIF(Plan!$A$2:$A$554,"Map 0")</f>
        <v/>
      </c>
      <c r="H7" s="51" t="n"/>
    </row>
    <row r="8" ht="23.25" customHeight="1" s="39">
      <c r="A8" s="51" t="n">
        <v>1</v>
      </c>
      <c r="B8" s="51" t="inlineStr">
        <is>
          <t>Thistlewood (+ Clovermead)</t>
        </is>
      </c>
      <c r="C8" s="51" t="inlineStr">
        <is>
          <t>Hedgerow and meadow</t>
        </is>
      </c>
      <c r="D8" s="52" t="inlineStr">
        <is>
          <t>Diurnal, Thorns, Worthy</t>
        </is>
      </c>
      <c r="E8" s="51" t="inlineStr">
        <is>
          <t>The Thistle Baron (Thorns); Hedgehog Scout (Thorns); Lucky Hopper (Worthy); Clover Butterfly (Diurnal)</t>
        </is>
      </c>
      <c r="F8" s="51" t="inlineStr">
        <is>
          <t>Hedgehogs make hitting hurt; the meadow wakes with the sun; a lucky hare brings Lumber.</t>
        </is>
      </c>
      <c r="G8" s="51">
        <f>COUNTIF(Plan!$A$2:$A$554,"Map 1")</f>
        <v/>
      </c>
      <c r="H8" s="51" t="n"/>
    </row>
    <row r="9" ht="23.25" customHeight="1" s="39">
      <c r="A9" s="51" t="n">
        <v>2</v>
      </c>
      <c r="B9" s="51" t="inlineStr">
        <is>
          <t>Pebble Beach (+ Lilypad Reach, Smugglers' Grotto)</t>
        </is>
      </c>
      <c r="C9" s="51" t="inlineStr">
        <is>
          <t>Beach and pond</t>
        </is>
      </c>
      <c r="D9" s="52" t="inlineStr">
        <is>
          <t>Armor, Tide, Molting</t>
        </is>
      </c>
      <c r="E9" s="51" t="inlineStr">
        <is>
          <t>The Old Shell (Armor, Tide); Tide Pool Crab (Armor, Tide, Molting)</t>
        </is>
      </c>
      <c r="F9" s="51" t="inlineStr">
        <is>
          <t>Shells and the tide: things on the beach are hard to crack and stronger when the water comes in.</t>
        </is>
      </c>
      <c r="G9" s="51">
        <f>COUNTIF(Plan!$A$2:$A$554,"Map 2")</f>
        <v/>
      </c>
      <c r="H9" s="51" t="n"/>
    </row>
    <row r="10" ht="34.5" customHeight="1" s="39">
      <c r="A10" s="51" t="n">
        <v>3</v>
      </c>
      <c r="B10" s="51" t="inlineStr">
        <is>
          <t>Gannet Cliffs</t>
        </is>
      </c>
      <c r="C10" s="51" t="inlineStr">
        <is>
          <t>Sea cliffs</t>
        </is>
      </c>
      <c r="D10" s="52" t="inlineStr">
        <is>
          <t>Arrow, Pounce, Evasive</t>
        </is>
      </c>
      <c r="E10" s="51" t="inlineStr">
        <is>
          <t>The Gannet Queen (Pounce); Hawk Arrowkeeper (Pounce); Eagle Sharpshooter (Arrow); Mountain Goat Climber (Evasive)</t>
        </is>
      </c>
      <c r="F10" s="51" t="inlineStr">
        <is>
          <t>Every ledge belongs to a bird: arrows, dives and a goat that is never quite where you aimed.</t>
        </is>
      </c>
      <c r="G10" s="51">
        <f>COUNTIF(Plan!$A$2:$A$554,"Map 3")</f>
        <v/>
      </c>
      <c r="H10" s="51" t="n"/>
    </row>
    <row r="11" ht="34.5" customHeight="1" s="39">
      <c r="A11" s="51" t="n">
        <v>4</v>
      </c>
      <c r="B11" s="51" t="inlineStr">
        <is>
          <t>Sunken Hollow</t>
        </is>
      </c>
      <c r="C11" s="51" t="inlineStr">
        <is>
          <t>Ocean (flooded lowland)</t>
        </is>
      </c>
      <c r="D11" s="52" t="inlineStr">
        <is>
          <t>Wash, Stealth, Fork</t>
        </is>
      </c>
      <c r="E11" s="51" t="inlineStr">
        <is>
          <t>The Drowned Matriarch (Fork); Moray Ambusher (Stealth); Dolphin Knight (Wash)</t>
        </is>
      </c>
      <c r="F11" s="51" t="inlineStr">
        <is>
          <t>Things that never surface first: the current pushes you back, eels slip past to the castle.</t>
        </is>
      </c>
      <c r="G11" s="51">
        <f>COUNTIF(Plan!$A$2:$A$554,"Map 4")</f>
        <v/>
      </c>
      <c r="H11" s="51" t="inlineStr">
        <is>
          <t>Tide, Poison, Lumber when Ready, Cleave, Swimmer, Momentum, Wash, Armor, Revivificated, Shell</t>
        </is>
      </c>
    </row>
    <row r="12" ht="34.5" customHeight="1" s="39">
      <c r="A12" s="51" t="n">
        <v>5</v>
      </c>
      <c r="B12" s="51" t="inlineStr">
        <is>
          <t>Gatorback Swamp (+ The Sunken Grove)</t>
        </is>
      </c>
      <c r="C12" s="51" t="inlineStr">
        <is>
          <t>Swamp</t>
        </is>
      </c>
      <c r="D12" s="52" t="inlineStr">
        <is>
          <t>Poison, Bleed, Explode</t>
        </is>
      </c>
      <c r="E12" s="51" t="inlineStr">
        <is>
          <t>Old Snapjaw (Bleed); Bog Leech (Bleed); Rootworm Colony (Poison); Marsh Gas Toad (Explode)</t>
        </is>
      </c>
      <c r="F12" s="51" t="inlineStr">
        <is>
          <t>The living swamp: toads that pop, leeches that bleed you, roots full of poison.</t>
        </is>
      </c>
      <c r="G12" s="51">
        <f>COUNTIF(Plan!$A$2:$A$554,"Map 5")</f>
        <v/>
      </c>
      <c r="H12" s="51" t="inlineStr">
        <is>
          <t>Quick, Regeneration, Swimmer, Poison, shedding, Cleave, Ambush, Armor, Fester, Nocturnal, Flying, Pounce</t>
        </is>
      </c>
    </row>
    <row r="13" ht="34.5" customHeight="1" s="39">
      <c r="A13" s="51" t="n">
        <v>6</v>
      </c>
      <c r="B13" s="51" t="inlineStr">
        <is>
          <t>Sable Swampmire</t>
        </is>
      </c>
      <c r="C13" s="51" t="inlineStr">
        <is>
          <t>Swamp (the black mire)</t>
        </is>
      </c>
      <c r="D13" s="52" t="inlineStr">
        <is>
          <t>Nocturnal, Quick</t>
        </is>
      </c>
      <c r="E13" s="51" t="inlineStr">
        <is>
          <t>Mangrove Mudskipper (Quick); Raccoon Bandit (Nocturnal)</t>
        </is>
      </c>
      <c r="F13" s="51" t="inlineStr">
        <is>
          <t>The black mire bites first, and mostly at night.</t>
        </is>
      </c>
      <c r="G13" s="51">
        <f>COUNTIF(Plan!$A$2:$A$554,"Map 6")</f>
        <v/>
      </c>
      <c r="H13" s="51" t="inlineStr">
        <is>
          <t>Quick, Regeneration, Swimmer, Poison, shedding, Cleave, Ambush, Armor, Fester, Nocturnal, Flying, Pounce</t>
        </is>
      </c>
    </row>
    <row r="14" ht="23.25" customHeight="1" s="39">
      <c r="A14" s="51" t="n">
        <v>7</v>
      </c>
      <c r="B14" s="51" t="inlineStr">
        <is>
          <t>The Morel Hollow (+ The Mycelium Deep)</t>
        </is>
      </c>
      <c r="C14" s="51" t="inlineStr">
        <is>
          <t>Mushroom forest</t>
        </is>
      </c>
      <c r="D14" s="52" t="inlineStr">
        <is>
          <t>Sleep, Decay, Rocket</t>
        </is>
      </c>
      <c r="E14" s="51" t="inlineStr">
        <is>
          <t>Nightshade Moth (Sleep); Dung Beetle (Decay); Bombardier Beetle (Rocket)</t>
        </is>
      </c>
      <c r="F14" s="51" t="inlineStr">
        <is>
          <t>Spores that put you to sleep, rot that saps you, a beetle with a boiling spray.</t>
        </is>
      </c>
      <c r="G14" s="51">
        <f>COUNTIF(Plan!$A$2:$A$554,"Map 7")</f>
        <v/>
      </c>
      <c r="H14" s="51" t="n"/>
    </row>
    <row r="15" ht="34.5" customHeight="1" s="39">
      <c r="A15" s="51" t="n">
        <v>8</v>
      </c>
      <c r="B15" s="51" t="inlineStr">
        <is>
          <t>Caves &amp; Alcoves (+ The Glimmer Depths)</t>
        </is>
      </c>
      <c r="C15" s="51" t="inlineStr">
        <is>
          <t>Cave</t>
        </is>
      </c>
      <c r="D15" s="52" t="inlineStr">
        <is>
          <t>Darksight, Shell, Ready Strike</t>
        </is>
      </c>
      <c r="E15" s="51" t="inlineStr">
        <is>
          <t>Echo Matriarch (Ready Strike); Echo Screecher (Ready Strike); Stalactite Golem (Shell, Darksight); Quarry Mole (Darksight)</t>
        </is>
      </c>
      <c r="F15" s="51" t="inlineStr">
        <is>
          <t>Where sound carries further than light: see in the dark, hide in a shell, bats that shriek every round.</t>
        </is>
      </c>
      <c r="G15" s="51">
        <f>COUNTIF(Plan!$A$2:$A$554,"Map 8")</f>
        <v/>
      </c>
      <c r="H15" s="51" t="inlineStr">
        <is>
          <t>Darksight, Regeneration, Poison, Flying, Nocturnal, Fork, Progeny, Quick, Armor, Prayer, Heavy Metal, Mine, Stealth, Ambush, Worthy</t>
        </is>
      </c>
    </row>
    <row r="16" ht="34.5" customHeight="1" s="39">
      <c r="A16" s="51" t="n">
        <v>9</v>
      </c>
      <c r="B16" s="51" t="inlineStr">
        <is>
          <t>The Kelp Mangroves</t>
        </is>
      </c>
      <c r="C16" s="51" t="inlineStr">
        <is>
          <t>Ocean (mangrove coast)</t>
        </is>
      </c>
      <c r="D16" s="52" t="inlineStr">
        <is>
          <t>Loot, Guardian, Reload</t>
        </is>
      </c>
      <c r="E16" s="51" t="inlineStr">
        <is>
          <t>Gull Thief (Loot); Clownfish Scout (Guardian); Riptide Eel (Reload)</t>
        </is>
      </c>
      <c r="F16" s="51" t="inlineStr">
        <is>
          <t>Smugglers' channels: gulls that loot, fish that shield their friends, eels that strike and reload.</t>
        </is>
      </c>
      <c r="G16" s="51">
        <f>COUNTIF(Plan!$A$2:$A$554,"Map 9")</f>
        <v/>
      </c>
      <c r="H16" s="51" t="inlineStr">
        <is>
          <t>Tide, Poison, Lumber when Ready, Cleave, Swimmer, Momentum, Wash, Armor, Revivificated, Shell</t>
        </is>
      </c>
    </row>
    <row r="17" ht="34.5" customHeight="1" s="39">
      <c r="A17" s="51" t="n">
        <v>10</v>
      </c>
      <c r="B17" s="51" t="inlineStr">
        <is>
          <t>Coral Current (+ The Sunken Depths)</t>
        </is>
      </c>
      <c r="C17" s="51" t="inlineStr">
        <is>
          <t>Ocean (open sea)</t>
        </is>
      </c>
      <c r="D17" s="52" t="inlineStr">
        <is>
          <t>Crit, Shock, Stall</t>
        </is>
      </c>
      <c r="E17" s="51" t="inlineStr">
        <is>
          <t>Coral Reef Shark (Crit); Voltaic Eel (Stall, Shock)</t>
        </is>
      </c>
      <c r="F17" s="51" t="inlineStr">
        <is>
          <t>The open sea: sharks that sometimes hit twice as hard, eels that shock and slow you.</t>
        </is>
      </c>
      <c r="G17" s="51">
        <f>COUNTIF(Plan!$A$2:$A$554,"Map 10")</f>
        <v/>
      </c>
      <c r="H17" s="51" t="inlineStr">
        <is>
          <t>Tide, Poison, Lumber when Ready, Cleave, Swimmer, Momentum, Wash, Armor, Revivificated, Shell</t>
        </is>
      </c>
    </row>
    <row r="18" ht="23.25" customHeight="1" s="39">
      <c r="A18" s="51" t="n">
        <v>11</v>
      </c>
      <c r="B18" s="51" t="inlineStr">
        <is>
          <t>Eyrie Heights (+ The Aerie Vault)</t>
        </is>
      </c>
      <c r="C18" s="51" t="inlineStr">
        <is>
          <t>Mountain cliffs</t>
        </is>
      </c>
      <c r="D18" s="52" t="inlineStr">
        <is>
          <t>Skyfall, Daunt, Lumber when Ready</t>
        </is>
      </c>
      <c r="E18" s="51" t="inlineStr">
        <is>
          <t>Eyrie Warden (Daunt); Stonedrop Vulture (Skyfall); Chipmunk Hoarder (Lumber when Ready)</t>
        </is>
      </c>
      <c r="F18" s="51" t="inlineStr">
        <is>
          <t>The thin air: rocks from the sky, eagles that unnerve you, marmots and chipmunks hoarding Lumber.</t>
        </is>
      </c>
      <c r="G18" s="51">
        <f>COUNTIF(Plan!$A$2:$A$554,"Map 11")</f>
        <v/>
      </c>
      <c r="H18" s="51" t="n"/>
    </row>
    <row r="19" ht="23.25" customHeight="1" s="39">
      <c r="A19" s="51" t="n">
        <v>12</v>
      </c>
      <c r="B19" s="51" t="inlineStr">
        <is>
          <t>The Briar Maze</t>
        </is>
      </c>
      <c r="C19" s="51" t="inlineStr">
        <is>
          <t>Briar hedge maze</t>
        </is>
      </c>
      <c r="D19" s="52" t="inlineStr">
        <is>
          <t>Backstab, Changeling</t>
        </is>
      </c>
      <c r="E19" s="51" t="inlineStr">
        <is>
          <t>Cunning Vixen (Backstab); Puddle Changeling (Changeling)</t>
        </is>
      </c>
      <c r="F19" s="51" t="inlineStr">
        <is>
          <t>A maze of tricks: foxes strike from the side, and one little mimic pretends to be family.</t>
        </is>
      </c>
      <c r="G19" s="51">
        <f>COUNTIF(Plan!$A$2:$A$554,"Map 12")</f>
        <v/>
      </c>
      <c r="H19" s="51" t="n"/>
    </row>
    <row r="20" ht="23.25" customHeight="1" s="39">
      <c r="A20" s="51" t="n">
        <v>13</v>
      </c>
      <c r="B20" s="51" t="inlineStr">
        <is>
          <t>The Redwood Deep</t>
        </is>
      </c>
      <c r="C20" s="51" t="inlineStr">
        <is>
          <t>Redwood forest</t>
        </is>
      </c>
      <c r="D20" s="52" t="inlineStr">
        <is>
          <t>Cleave, Rage, Keen Eye</t>
        </is>
      </c>
      <c r="E20" s="51" t="inlineStr">
        <is>
          <t>Grizzly Vanguard (Cleave); Berserker Boar (Rage); Fawn Scout (Keen Eye)</t>
        </is>
      </c>
      <c r="F20" s="51" t="inlineStr">
        <is>
          <t>The giants of the deep wood: bears that cleave a line, boars that rage, a fawn that sees through tricks.</t>
        </is>
      </c>
      <c r="G20" s="51">
        <f>COUNTIF(Plan!$A$2:$A$554,"Map 13")</f>
        <v/>
      </c>
      <c r="H20" s="51" t="n"/>
    </row>
    <row r="21" ht="23.25" customHeight="1" s="39">
      <c r="A21" s="51" t="n">
        <v>14</v>
      </c>
      <c r="B21" s="51" t="inlineStr">
        <is>
          <t>Savanna Reaches (+ The Canopy)</t>
        </is>
      </c>
      <c r="C21" s="51" t="inlineStr">
        <is>
          <t>Savanna (and rainforest canopy)</t>
        </is>
      </c>
      <c r="D21" s="52" t="inlineStr">
        <is>
          <t>Stampede, Siege, Demolisher</t>
        </is>
      </c>
      <c r="E21" s="51" t="inlineStr">
        <is>
          <t>Marching Elephant (Stampede); Siege Rhino (Siege, Demolisher)</t>
        </is>
      </c>
      <c r="F21" s="51" t="inlineStr">
        <is>
          <t>Nothing here hides for long: elephants trample on to the castle, rhinos knock down walls.</t>
        </is>
      </c>
      <c r="G21" s="51">
        <f>COUNTIF(Plan!$A$2:$A$554,"Map 14")</f>
        <v/>
      </c>
      <c r="H21" s="51" t="n"/>
    </row>
    <row r="22" ht="23.25" customHeight="1" s="39">
      <c r="A22" s="51" t="n">
        <v>15</v>
      </c>
      <c r="B22" s="51" t="inlineStr">
        <is>
          <t>The Long Grass</t>
        </is>
      </c>
      <c r="C22" s="51" t="inlineStr">
        <is>
          <t>Plains and farms</t>
        </is>
      </c>
      <c r="D22" s="52" t="inlineStr">
        <is>
          <t>Rally, Shield Call</t>
        </is>
      </c>
      <c r="E22" s="51" t="inlineStr">
        <is>
          <t>Sergeant Bramblefox (Rally); Shieldbearer Hound (Shield Call)</t>
        </is>
      </c>
      <c r="F22" s="51" t="inlineStr">
        <is>
          <t>Militia country: the sergeant rallies, the hounds raise a shield.</t>
        </is>
      </c>
      <c r="G22" s="51">
        <f>COUNTIF(Plan!$A$2:$A$554,"Map 15")</f>
        <v/>
      </c>
      <c r="H22" s="51" t="n"/>
    </row>
    <row r="23" ht="23.25" customHeight="1" s="39">
      <c r="A23" s="51" t="n">
        <v>16</v>
      </c>
      <c r="B23" s="51" t="inlineStr">
        <is>
          <t>The Pinewood Taiga</t>
        </is>
      </c>
      <c r="C23" s="51" t="inlineStr">
        <is>
          <t>Taiga</t>
        </is>
      </c>
      <c r="D23" s="52" t="inlineStr">
        <is>
          <t>Lone Wolf, Moonborn</t>
        </is>
      </c>
      <c r="E23" s="51" t="inlineStr">
        <is>
          <t>Lone Grey Wolf (Lone Wolf); Lunar Howler (Moonborn)</t>
        </is>
      </c>
      <c r="F23" s="51" t="inlineStr">
        <is>
          <t>Wolves at the edge of the snow: one that hunts alone, one that sings to the moon.</t>
        </is>
      </c>
      <c r="G23" s="51">
        <f>COUNTIF(Plan!$A$2:$A$554,"Map 16")</f>
        <v/>
      </c>
      <c r="H23" s="51" t="n"/>
    </row>
    <row r="24" ht="23.25" customHeight="1" s="39">
      <c r="A24" s="51" t="n">
        <v>17</v>
      </c>
      <c r="B24" s="51" t="inlineStr">
        <is>
          <t>Wolfsbane Tundra (+ The Ice Hollow)</t>
        </is>
      </c>
      <c r="C24" s="51" t="inlineStr">
        <is>
          <t>Ice</t>
        </is>
      </c>
      <c r="D24" s="52" t="inlineStr">
        <is>
          <t>Freeze, Frostbite, Scare</t>
        </is>
      </c>
      <c r="E24" s="51" t="inlineStr">
        <is>
          <t>Glacier Yak (Freeze); Frostbitten Wolverine (Frostbite); Yeti (Scare)</t>
        </is>
      </c>
      <c r="F24" s="51" t="inlineStr">
        <is>
          <t>The cold has teeth: frozen units, frost that makes the hardy stronger, a yeti nobody wants to hit.</t>
        </is>
      </c>
      <c r="G24" s="51">
        <f>COUNTIF(Plan!$A$2:$A$554,"Map 17")</f>
        <v/>
      </c>
      <c r="H24" s="51" t="inlineStr">
        <is>
          <t>Swimmer, Evasive, Bleed, Cleave, Nocturnal, Frostbite, Earthquake, Pounce</t>
        </is>
      </c>
    </row>
    <row r="25" ht="23.25" customHeight="1" s="39">
      <c r="A25" s="51" t="n">
        <v>18</v>
      </c>
      <c r="B25" s="51" t="inlineStr">
        <is>
          <t>The Glass Dunes</t>
        </is>
      </c>
      <c r="C25" s="51" t="inlineStr">
        <is>
          <t>Desert</t>
        </is>
      </c>
      <c r="D25" s="52" t="inlineStr">
        <is>
          <t>Dry, Sociable, Swift</t>
        </is>
      </c>
      <c r="E25" s="51" t="inlineStr">
        <is>
          <t>Meerkat Sentry (Sociable, Dry); Meerkat Burrower (Dry); Dune Jackal (Dry, Swift); Caustic Scorpion (Dry)</t>
        </is>
      </c>
      <c r="F25" s="51" t="inlineStr">
        <is>
          <t>Heat so fierce the sand turns to glass: only the dry survive, meerkats in a mob, jackals that always go first.</t>
        </is>
      </c>
      <c r="G25" s="51">
        <f>COUNTIF(Plan!$A$2:$A$554,"Map 18")</f>
        <v/>
      </c>
      <c r="H25" s="51" t="n"/>
    </row>
    <row r="26" ht="34.5" customHeight="1" s="39">
      <c r="A26" s="51" t="n">
        <v>19</v>
      </c>
      <c r="B26" s="51" t="inlineStr">
        <is>
          <t>Ashen Spurn (+ Basalt Foundry)</t>
        </is>
      </c>
      <c r="C26" s="51" t="inlineStr">
        <is>
          <t>Volcano (scorched heights)</t>
        </is>
      </c>
      <c r="D26" s="52" t="inlineStr">
        <is>
          <t>Gash, Landslide, Fire Arrow</t>
        </is>
      </c>
      <c r="E26" s="51" t="inlineStr">
        <is>
          <t>Komodo Warlord (Gash); Scree Goat (Landslide); Magma Salamander (Fire Arrow)</t>
        </is>
      </c>
      <c r="F26" s="51" t="inlineStr">
        <is>
          <t>Scorched high ground: flaming arrows, falling rocks and a lizard that tears on arrival.</t>
        </is>
      </c>
      <c r="G26" s="51">
        <f>COUNTIF(Plan!$A$2:$A$554,"Map 19")</f>
        <v/>
      </c>
      <c r="H26" s="51" t="inlineStr">
        <is>
          <t>Quick, Dry, Evasive, Flying, Nocturnal, Armor, Poison, Thorns, Tide, Molting, Frenzy, Renewal, Grit</t>
        </is>
      </c>
    </row>
    <row r="27" ht="34.5" customHeight="1" s="39">
      <c r="A27" s="51" t="n">
        <v>20</v>
      </c>
      <c r="B27" s="51" t="inlineStr">
        <is>
          <t>The Sundered Peak (+ Eye of the Volcano, Volcano Lair)</t>
        </is>
      </c>
      <c r="C27" s="51" t="inlineStr">
        <is>
          <t>Volcano (the peak)</t>
        </is>
      </c>
      <c r="D27" s="52" t="inlineStr">
        <is>
          <t>Stun, Stagger, Immolation</t>
        </is>
      </c>
      <c r="E27" s="51" t="inlineStr">
        <is>
          <t>Ash Cloud Condor (Stun); Bonebreaker (Stagger); Ember Wisp (Immolation); Cinder Hornet (Stun)</t>
        </is>
      </c>
      <c r="F27" s="51" t="inlineStr">
        <is>
          <t>The final approach: stunning heat, crushing blows, units that burn whoever stands next to them.</t>
        </is>
      </c>
      <c r="G27" s="51">
        <f>COUNTIF(Plan!$A$2:$A$554,"Map 20")</f>
        <v/>
      </c>
      <c r="H27" s="51" t="inlineStr">
        <is>
          <t>Quick, Dry, Evasive, Flying, Nocturnal, Armor, Poison, Thorns, Tide, Molting, Frenzy, Renewal, Grit</t>
        </is>
      </c>
    </row>
    <row r="28" ht="23.25" customHeight="1" s="39">
      <c r="A28" s="51" t="n">
        <v>21</v>
      </c>
      <c r="B28" s="51" t="inlineStr">
        <is>
          <t>The Quiet Summit</t>
        </is>
      </c>
      <c r="C28" s="51" t="inlineStr">
        <is>
          <t>Mountain summit</t>
        </is>
      </c>
      <c r="D28" s="52" t="inlineStr">
        <is>
          <t>Expose, Healing, Timber</t>
        </is>
      </c>
      <c r="E28" s="51" t="inlineStr">
        <is>
          <t>Snow Owl Sentinel (Expose); Newt Doctor (Healing); Heartwood Treant (Timber)</t>
        </is>
      </c>
      <c r="F28" s="51" t="inlineStr">
        <is>
          <t>Above the storm, everything has rested: owls that mark targets, a newt that heals, a tree that grows with your Lumber.</t>
        </is>
      </c>
      <c r="G28" s="51">
        <f>COUNTIF(Plan!$A$2:$A$554,"Map 21")</f>
        <v/>
      </c>
      <c r="H28" s="5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J256"/>
  <sheetViews>
    <sheetView workbookViewId="0">
      <pane ySplit="16" topLeftCell="A17" activePane="bottomLeft" state="frozen"/>
      <selection pane="bottomLeft" activeCell="A1" sqref="A1"/>
    </sheetView>
  </sheetViews>
  <sheetFormatPr baseColWidth="8" defaultRowHeight="15"/>
  <cols>
    <col width="18" customWidth="1" style="39" min="1" max="1"/>
    <col width="7" customWidth="1" style="39" min="2" max="2"/>
    <col width="22" customWidth="1" style="39" min="3" max="3"/>
    <col width="9" customWidth="1" style="39" min="4" max="4"/>
    <col width="13" customWidth="1" style="39" min="5" max="5"/>
    <col width="13" customWidth="1" style="39" min="6" max="6"/>
    <col width="46" customWidth="1" style="39" min="7" max="7"/>
    <col width="10" customWidth="1" style="39" min="8" max="8"/>
    <col width="40" customWidth="1" style="39" min="9" max="9"/>
    <col width="12" customWidth="1" style="39" min="10" max="10"/>
  </cols>
  <sheetData>
    <row r="1">
      <c r="A1" s="75" t="inlineStr">
        <is>
          <t>Skill N values: what each skill costs in the stat budget</t>
        </is>
      </c>
      <c r="B1" s="76" t="n"/>
      <c r="C1" s="76" t="n"/>
      <c r="D1" s="76" t="n"/>
      <c r="E1" s="76" t="n"/>
      <c r="F1" s="76" t="n"/>
      <c r="G1" s="76" t="n"/>
      <c r="H1" s="76" t="n"/>
      <c r="I1" s="76" t="n"/>
      <c r="J1" s="76" t="n"/>
    </row>
    <row r="2">
      <c r="A2" s="77" t="inlineStr">
        <is>
          <t>Rule (Test Lab ⚖️ Stat budget, v3, 2026-10-17): (2×Attack + Health + Skills) &lt; N and (Attack × Health + Skills) &lt; (N/3)², both must pass. Skills is the sum of the costs below. See the Budget v3 legend for N.</t>
        </is>
      </c>
      <c r="B2" s="76" t="n"/>
      <c r="C2" s="76" t="n"/>
      <c r="D2" s="76" t="n"/>
      <c r="E2" s="76" t="n"/>
      <c r="F2" s="76" t="n"/>
      <c r="G2" s="76" t="n"/>
      <c r="H2" s="76" t="n"/>
      <c r="I2" s="76" t="n"/>
      <c r="J2" s="76" t="n"/>
    </row>
    <row r="3">
      <c r="A3" s="77" t="inlineStr">
        <is>
          <t>Fill the yellow "Your N" column: a number (the skill always costs that much) or v (it costs its own number, e.g. Poison 2 = 2). Leave it empty to keep the current weight. Then run: python3 tools/cardplan/import_skill_n.py</t>
        </is>
      </c>
      <c r="B3" s="76" t="n"/>
      <c r="C3" s="76" t="n"/>
      <c r="D3" s="76" t="n"/>
      <c r="E3" s="76" t="n"/>
      <c r="F3" s="76" t="n"/>
      <c r="G3" s="76" t="n"/>
      <c r="H3" s="76" t="n"/>
      <c r="I3" s="76" t="n"/>
      <c r="J3" s="76" t="n"/>
    </row>
    <row r="4">
      <c r="A4" s="77" t="inlineStr">
        <is>
          <t>Kind: flag = on or off · number = it has a value (Poison 2) · trigger = a bundled When … do … skill. Blue text = values you type.</t>
        </is>
      </c>
      <c r="B4" s="76" t="n"/>
      <c r="C4" s="76" t="n"/>
      <c r="D4" s="76" t="n"/>
      <c r="E4" s="76" t="n"/>
      <c r="F4" s="76" t="n"/>
      <c r="G4" s="76" t="n"/>
      <c r="H4" s="76" t="n"/>
      <c r="I4" s="76" t="n"/>
      <c r="J4" s="76" t="n"/>
    </row>
    <row r="5">
      <c r="A5" s="78" t="inlineStr">
        <is>
          <t>Example</t>
        </is>
      </c>
      <c r="B5" s="78" t="inlineStr">
        <is>
          <t>⚡</t>
        </is>
      </c>
      <c r="C5" s="78" t="inlineStr">
        <is>
          <t>Quick</t>
        </is>
      </c>
      <c r="D5" s="78" t="inlineStr">
        <is>
          <t>flag</t>
        </is>
      </c>
      <c r="E5" s="78" t="inlineStr">
        <is>
          <t>boolean</t>
        </is>
      </c>
      <c r="F5" s="78" t="n">
        <v>2</v>
      </c>
      <c r="G5" s="78" t="inlineStr">
        <is>
          <t>Fixed: costs 2</t>
        </is>
      </c>
      <c r="H5" s="79" t="n">
        <v>3</v>
      </c>
      <c r="I5" s="78" t="inlineStr">
        <is>
          <t>Example only (this row is not read): Quick would cost 3 instead of 2.</t>
        </is>
      </c>
      <c r="J5" s="78" t="n"/>
    </row>
    <row r="6">
      <c r="A6" s="76" t="n"/>
      <c r="B6" s="76" t="n"/>
      <c r="C6" s="76" t="n"/>
      <c r="D6" s="76" t="n"/>
      <c r="E6" s="76" t="n"/>
      <c r="F6" s="76" t="n"/>
      <c r="G6" s="76" t="n"/>
      <c r="H6" s="76" t="n"/>
      <c r="I6" s="76" t="n"/>
      <c r="J6" s="76" t="n"/>
    </row>
    <row r="7">
      <c r="A7" s="80" t="inlineStr">
        <is>
          <t>Budget v3</t>
        </is>
      </c>
      <c r="B7" s="76" t="n"/>
      <c r="C7" s="77" t="inlineStr">
        <is>
          <t>What N is made of (the same numbers as the game's Test Lab and card editor)</t>
        </is>
      </c>
      <c r="D7" s="76" t="n"/>
      <c r="E7" s="76" t="n"/>
      <c r="F7" s="76" t="n"/>
      <c r="G7" s="76" t="n"/>
      <c r="H7" s="76" t="n"/>
      <c r="I7" s="76" t="n"/>
      <c r="J7" s="76" t="n"/>
    </row>
    <row r="8">
      <c r="A8" s="81" t="inlineStr">
        <is>
          <t>Base</t>
        </is>
      </c>
      <c r="B8" s="76" t="n"/>
      <c r="C8" s="76" t="inlineStr">
        <is>
          <t>N starts at 20</t>
        </is>
      </c>
      <c r="D8" s="76" t="n"/>
      <c r="E8" s="76" t="n"/>
      <c r="F8" s="76" t="n"/>
      <c r="G8" s="76" t="n"/>
      <c r="H8" s="76" t="n"/>
      <c r="I8" s="76" t="n"/>
      <c r="J8" s="76" t="n"/>
    </row>
    <row r="9">
      <c r="A9" s="81" t="inlineStr">
        <is>
          <t>Level</t>
        </is>
      </c>
      <c r="B9" s="76" t="n"/>
      <c r="C9" s="76" t="inlineStr">
        <is>
          <t>+2 per level (the Test Lab uses the level the card starts at: Base and quest cards 0, rewards 1; the card editor Level 1)</t>
        </is>
      </c>
      <c r="D9" s="76" t="n"/>
      <c r="E9" s="76" t="n"/>
      <c r="F9" s="76" t="n"/>
      <c r="G9" s="76" t="n"/>
      <c r="H9" s="76" t="n"/>
      <c r="I9" s="76" t="n"/>
      <c r="J9" s="76" t="n"/>
    </row>
    <row r="10">
      <c r="A10" s="81" t="inlineStr">
        <is>
          <t>Rarity</t>
        </is>
      </c>
      <c r="B10" s="76" t="n"/>
      <c r="C10" s="76" t="inlineStr">
        <is>
          <t>+1 per rarity step: Starter (Base) 0, Common 1, Uncommon 2, Rare 3, Very Rare 4, Super Rare 5, Epic 6, Heroic 7, Unique 8, Legendary 9, Mythic 10, Ancient 11, Divine 12, Void 13, Daemonic 14. Quest and special rarities count as the tier they stand for</t>
        </is>
      </c>
      <c r="D10" s="76" t="n"/>
      <c r="E10" s="76" t="n"/>
      <c r="F10" s="76" t="n"/>
      <c r="G10" s="76" t="n"/>
      <c r="H10" s="76" t="n"/>
      <c r="I10" s="76" t="n"/>
      <c r="J10" s="76" t="n"/>
    </row>
    <row r="11">
      <c r="A11" s="81" t="inlineStr">
        <is>
          <t>Wait</t>
        </is>
      </c>
      <c r="B11" s="76" t="n"/>
      <c r="C11" s="76" t="inlineStr">
        <is>
          <t>+6×Wait + 0.5×Wait²</t>
        </is>
      </c>
      <c r="D11" s="76" t="n"/>
      <c r="E11" s="76" t="n"/>
      <c r="F11" s="76" t="n"/>
      <c r="G11" s="76" t="n"/>
      <c r="H11" s="76" t="n"/>
      <c r="I11" s="76" t="n"/>
      <c r="J11" s="76" t="n"/>
    </row>
    <row r="12">
      <c r="A12" s="81" t="inlineStr">
        <is>
          <t>Lumber</t>
        </is>
      </c>
      <c r="B12" s="76" t="n"/>
      <c r="C12" s="76" t="inlineStr">
        <is>
          <t>+4×Lumber + 0.4×Lumber²</t>
        </is>
      </c>
      <c r="D12" s="76" t="n"/>
      <c r="E12" s="76" t="n"/>
      <c r="F12" s="76" t="n"/>
      <c r="G12" s="76" t="n"/>
      <c r="H12" s="76" t="n"/>
      <c r="I12" s="76" t="n"/>
      <c r="J12" s="76" t="n"/>
    </row>
    <row r="13">
      <c r="A13" s="81" t="inlineStr">
        <is>
          <t>Half-miss ×</t>
        </is>
      </c>
      <c r="B13" s="76" t="n"/>
      <c r="C13" s="76" t="inlineStr">
        <is>
          <t>Both scores are ×1.5 for each of: evasive, swift, flying, shadow, blind (they cost 0 themselves)</t>
        </is>
      </c>
      <c r="D13" s="76" t="n"/>
      <c r="E13" s="76" t="n"/>
      <c r="F13" s="76" t="n"/>
      <c r="G13" s="76" t="n"/>
      <c r="H13" s="76" t="n"/>
      <c r="I13" s="76" t="n"/>
      <c r="J13" s="76" t="n"/>
    </row>
    <row r="14">
      <c r="A14" s="81" t="inlineStr">
        <is>
          <t>Bounty</t>
        </is>
      </c>
      <c r="B14" s="76" t="n"/>
      <c r="C14" s="76" t="inlineStr">
        <is>
          <t>Costs 0: it pays the player who plays it and, when it dies, the other side</t>
        </is>
      </c>
      <c r="D14" s="76" t="n"/>
      <c r="E14" s="76" t="n"/>
      <c r="F14" s="76" t="n"/>
      <c r="G14" s="76" t="n"/>
      <c r="H14" s="76" t="n"/>
      <c r="I14" s="76" t="n"/>
      <c r="J14" s="76" t="n"/>
    </row>
    <row r="15">
      <c r="A15" s="81" t="inlineStr">
        <is>
          <t>Formula</t>
        </is>
      </c>
      <c r="B15" s="76" t="n"/>
      <c r="C15" s="76" t="inlineStr">
        <is>
          <t>N = 20 + 2×Level + Rarity + 6×Wait + 0.5×Wait² + 4×Lumber + 0.4×Lumber². Pass: 2A+H+S &lt; N and A×H+S &lt; (N/3)²</t>
        </is>
      </c>
      <c r="D15" s="76" t="n"/>
      <c r="E15" s="76" t="n"/>
      <c r="F15" s="76" t="n"/>
      <c r="G15" s="76" t="n"/>
      <c r="H15" s="76" t="n"/>
      <c r="I15" s="76" t="n"/>
      <c r="J15" s="76" t="n"/>
    </row>
    <row r="16">
      <c r="A16" s="82" t="n"/>
      <c r="B16" s="82" t="n"/>
      <c r="C16" s="82" t="n"/>
      <c r="D16" s="82" t="n"/>
      <c r="E16" s="82" t="n"/>
      <c r="F16" s="82" t="n"/>
      <c r="G16" s="82" t="n"/>
      <c r="H16" s="82" t="n"/>
      <c r="I16" s="82" t="n"/>
      <c r="J16" s="82" t="n"/>
    </row>
    <row r="17">
      <c r="A17" s="76" t="inlineStr">
        <is>
          <t>Key</t>
        </is>
      </c>
      <c r="B17" s="76" t="inlineStr">
        <is>
          <t>Icon</t>
        </is>
      </c>
      <c r="C17" s="76" t="inlineStr">
        <is>
          <t>Skill</t>
        </is>
      </c>
      <c r="D17" s="76" t="inlineStr">
        <is>
          <t>Kind</t>
        </is>
      </c>
      <c r="E17" s="76" t="inlineStr">
        <is>
          <t>Value type</t>
        </is>
      </c>
      <c r="F17" s="76" t="inlineStr">
        <is>
          <t>Current weight</t>
        </is>
      </c>
      <c r="G17" s="83" t="inlineStr">
        <is>
          <t>How its value counts</t>
        </is>
      </c>
      <c r="H17" s="84" t="inlineStr">
        <is>
          <t>Your N</t>
        </is>
      </c>
      <c r="I17" s="83" t="inlineStr">
        <is>
          <t>Note</t>
        </is>
      </c>
      <c r="J17" s="76" t="inlineStr">
        <is>
          <t>Cards using it</t>
        </is>
      </c>
    </row>
    <row r="18">
      <c r="A18" s="76" t="inlineStr">
        <is>
          <t>poison</t>
        </is>
      </c>
      <c r="B18" s="76" t="inlineStr">
        <is>
          <t>☠</t>
        </is>
      </c>
      <c r="C18" s="76" t="inlineStr">
        <is>
          <t>Poison</t>
        </is>
      </c>
      <c r="D18" s="76" t="inlineStr">
        <is>
          <t>number</t>
        </is>
      </c>
      <c r="E18" s="76" t="inlineStr">
        <is>
          <t>number</t>
        </is>
      </c>
      <c r="F18" s="76" t="inlineStr">
        <is>
          <t>v</t>
        </is>
      </c>
      <c r="G18" s="83" t="inlineStr">
        <is>
          <t>By its number: Poison 2 costs 2 (at least 1; two-number values add up)</t>
        </is>
      </c>
      <c r="H18" s="84" t="n"/>
      <c r="I18" s="83" t="n"/>
      <c r="J18" s="76" t="n">
        <v>28</v>
      </c>
    </row>
    <row r="19">
      <c r="A19" s="76" t="inlineStr">
        <is>
          <t>decay</t>
        </is>
      </c>
      <c r="B19" s="76" t="inlineStr"/>
      <c r="C19" s="76" t="inlineStr">
        <is>
          <t>Decay</t>
        </is>
      </c>
      <c r="D19" s="76" t="inlineStr">
        <is>
          <t>number</t>
        </is>
      </c>
      <c r="E19" s="76" t="inlineStr">
        <is>
          <t>number</t>
        </is>
      </c>
      <c r="F19" s="76" t="inlineStr">
        <is>
          <t>— (default rule)</t>
        </is>
      </c>
      <c r="G19" s="83" t="inlineStr">
        <is>
          <t>Not in the table: costs 1, plus half its number (rounded down) when over 1</t>
        </is>
      </c>
      <c r="H19" s="84" t="n"/>
      <c r="I19" s="83" t="n"/>
      <c r="J19" s="76" t="n">
        <v>1</v>
      </c>
    </row>
    <row r="20">
      <c r="A20" s="76" t="inlineStr">
        <is>
          <t>armor</t>
        </is>
      </c>
      <c r="B20" s="76" t="inlineStr">
        <is>
          <t>🛡</t>
        </is>
      </c>
      <c r="C20" s="76" t="inlineStr">
        <is>
          <t>Armor</t>
        </is>
      </c>
      <c r="D20" s="76" t="inlineStr">
        <is>
          <t>number</t>
        </is>
      </c>
      <c r="E20" s="76" t="inlineStr">
        <is>
          <t>number</t>
        </is>
      </c>
      <c r="F20" s="76" t="inlineStr">
        <is>
          <t>v</t>
        </is>
      </c>
      <c r="G20" s="83" t="inlineStr">
        <is>
          <t>By its number: Armor 2 costs 2 (at least 1; two-number values add up)</t>
        </is>
      </c>
      <c r="H20" s="84" t="n"/>
      <c r="I20" s="83" t="n"/>
      <c r="J20" s="76" t="n">
        <v>41</v>
      </c>
    </row>
    <row r="21">
      <c r="A21" s="76" t="inlineStr">
        <is>
          <t>counterattack</t>
        </is>
      </c>
      <c r="B21" s="76" t="inlineStr">
        <is>
          <t>↩️</t>
        </is>
      </c>
      <c r="C21" s="76" t="inlineStr">
        <is>
          <t>Counterattack</t>
        </is>
      </c>
      <c r="D21" s="76" t="inlineStr">
        <is>
          <t>flag</t>
        </is>
      </c>
      <c r="E21" s="76" t="inlineStr">
        <is>
          <t>boolean</t>
        </is>
      </c>
      <c r="F21" s="76" t="inlineStr">
        <is>
          <t>— (default rule)</t>
        </is>
      </c>
      <c r="G21" s="83" t="inlineStr">
        <is>
          <t>Not in the table: costs 1</t>
        </is>
      </c>
      <c r="H21" s="84" t="n"/>
      <c r="I21" s="83" t="n"/>
      <c r="J21" s="76" t="n">
        <v>1</v>
      </c>
    </row>
    <row r="22">
      <c r="A22" s="76" t="inlineStr">
        <is>
          <t>spiteful</t>
        </is>
      </c>
      <c r="B22" s="76" t="inlineStr">
        <is>
          <t>😠</t>
        </is>
      </c>
      <c r="C22" s="76" t="inlineStr">
        <is>
          <t>Spiteful</t>
        </is>
      </c>
      <c r="D22" s="76" t="inlineStr">
        <is>
          <t>number</t>
        </is>
      </c>
      <c r="E22" s="76" t="inlineStr">
        <is>
          <t>number</t>
        </is>
      </c>
      <c r="F22" s="76" t="inlineStr">
        <is>
          <t>— (default rule)</t>
        </is>
      </c>
      <c r="G22" s="83" t="inlineStr">
        <is>
          <t>Not in the table: costs 1, plus half its number (rounded down) when over 1</t>
        </is>
      </c>
      <c r="H22" s="84" t="n"/>
      <c r="I22" s="83" t="n"/>
      <c r="J22" s="76" t="n">
        <v>1</v>
      </c>
    </row>
    <row r="23">
      <c r="A23" s="76" t="inlineStr">
        <is>
          <t>thorns</t>
        </is>
      </c>
      <c r="B23" s="76" t="inlineStr">
        <is>
          <t>🌵</t>
        </is>
      </c>
      <c r="C23" s="76" t="inlineStr">
        <is>
          <t>Thorns</t>
        </is>
      </c>
      <c r="D23" s="76" t="inlineStr">
        <is>
          <t>number</t>
        </is>
      </c>
      <c r="E23" s="76" t="inlineStr">
        <is>
          <t>number</t>
        </is>
      </c>
      <c r="F23" s="76" t="inlineStr">
        <is>
          <t>v</t>
        </is>
      </c>
      <c r="G23" s="83" t="inlineStr">
        <is>
          <t>By its number: Thorns 2 costs 2 (at least 1; two-number values add up)</t>
        </is>
      </c>
      <c r="H23" s="84" t="n"/>
      <c r="I23" s="83" t="n"/>
      <c r="J23" s="76" t="n">
        <v>14</v>
      </c>
    </row>
    <row r="24">
      <c r="A24" s="76" t="inlineStr">
        <is>
          <t>fork</t>
        </is>
      </c>
      <c r="B24" s="76" t="inlineStr">
        <is>
          <t>⇔</t>
        </is>
      </c>
      <c r="C24" s="76" t="inlineStr">
        <is>
          <t>Fork</t>
        </is>
      </c>
      <c r="D24" s="76" t="inlineStr">
        <is>
          <t>flag</t>
        </is>
      </c>
      <c r="E24" s="76" t="inlineStr">
        <is>
          <t>boolean</t>
        </is>
      </c>
      <c r="F24" s="76" t="inlineStr">
        <is>
          <t>— (default rule)</t>
        </is>
      </c>
      <c r="G24" s="83" t="inlineStr">
        <is>
          <t>Not in the table: costs 1</t>
        </is>
      </c>
      <c r="H24" s="84" t="n"/>
      <c r="I24" s="83" t="n"/>
      <c r="J24" s="76" t="n">
        <v>14</v>
      </c>
    </row>
    <row r="25">
      <c r="A25" s="76" t="inlineStr">
        <is>
          <t>swipe</t>
        </is>
      </c>
      <c r="B25" s="76" t="inlineStr">
        <is>
          <t>🫳</t>
        </is>
      </c>
      <c r="C25" s="76" t="inlineStr">
        <is>
          <t>Swipe</t>
        </is>
      </c>
      <c r="D25" s="76" t="inlineStr">
        <is>
          <t>number</t>
        </is>
      </c>
      <c r="E25" s="76" t="inlineStr">
        <is>
          <t>number</t>
        </is>
      </c>
      <c r="F25" s="76" t="inlineStr">
        <is>
          <t>— (default rule)</t>
        </is>
      </c>
      <c r="G25" s="83" t="inlineStr">
        <is>
          <t>Not in the table: costs 1, plus half its number (rounded down) when over 1</t>
        </is>
      </c>
      <c r="H25" s="84" t="n"/>
      <c r="I25" s="83" t="n"/>
      <c r="J25" s="76" t="n">
        <v>3</v>
      </c>
    </row>
    <row r="26">
      <c r="A26" s="76" t="inlineStr">
        <is>
          <t>twinStrike</t>
        </is>
      </c>
      <c r="B26" s="76" t="inlineStr">
        <is>
          <t>⚔⚔</t>
        </is>
      </c>
      <c r="C26" s="76" t="inlineStr">
        <is>
          <t>Twin Strike</t>
        </is>
      </c>
      <c r="D26" s="76" t="inlineStr">
        <is>
          <t>flag</t>
        </is>
      </c>
      <c r="E26" s="76" t="inlineStr">
        <is>
          <t>boolean</t>
        </is>
      </c>
      <c r="F26" s="76" t="inlineStr">
        <is>
          <t>— (default rule)</t>
        </is>
      </c>
      <c r="G26" s="83" t="inlineStr">
        <is>
          <t>Not in the table: costs 1</t>
        </is>
      </c>
      <c r="H26" s="84" t="n"/>
      <c r="I26" s="83" t="n"/>
      <c r="J26" s="76" t="n">
        <v>2</v>
      </c>
    </row>
    <row r="27">
      <c r="A27" s="76" t="inlineStr">
        <is>
          <t>converge</t>
        </is>
      </c>
      <c r="B27" s="76" t="inlineStr">
        <is>
          <t>🧲</t>
        </is>
      </c>
      <c r="C27" s="76" t="inlineStr">
        <is>
          <t>Converge</t>
        </is>
      </c>
      <c r="D27" s="76" t="inlineStr">
        <is>
          <t>trigger</t>
        </is>
      </c>
      <c r="E27" s="76" t="inlineStr">
        <is>
          <t>select</t>
        </is>
      </c>
      <c r="F27" s="76" t="inlineStr">
        <is>
          <t>— (default rule)</t>
        </is>
      </c>
      <c r="G27" s="83" t="inlineStr">
        <is>
          <t>Not in the table: costs 1, plus half its number (rounded down) when over 1</t>
        </is>
      </c>
      <c r="H27" s="84" t="n"/>
      <c r="I27" s="83" t="n"/>
      <c r="J27" s="76" t="n">
        <v>1</v>
      </c>
    </row>
    <row r="28">
      <c r="A28" s="76" t="inlineStr">
        <is>
          <t>defiance</t>
        </is>
      </c>
      <c r="B28" s="76" t="inlineStr">
        <is>
          <t>😤</t>
        </is>
      </c>
      <c r="C28" s="76" t="inlineStr">
        <is>
          <t>Defiance</t>
        </is>
      </c>
      <c r="D28" s="76" t="inlineStr">
        <is>
          <t>number</t>
        </is>
      </c>
      <c r="E28" s="76" t="inlineStr">
        <is>
          <t>types</t>
        </is>
      </c>
      <c r="F28" s="76" t="inlineStr">
        <is>
          <t>— (default rule)</t>
        </is>
      </c>
      <c r="G28" s="83" t="inlineStr">
        <is>
          <t>Not in the table: costs 1, plus half its number (rounded down) when over 1</t>
        </is>
      </c>
      <c r="H28" s="84" t="n"/>
      <c r="I28" s="83" t="n"/>
      <c r="J28" s="76" t="n">
        <v>1</v>
      </c>
    </row>
    <row r="29">
      <c r="A29" s="76" t="inlineStr">
        <is>
          <t>pack</t>
        </is>
      </c>
      <c r="B29" s="76" t="inlineStr">
        <is>
          <t>🐺</t>
        </is>
      </c>
      <c r="C29" s="76" t="inlineStr">
        <is>
          <t>Pack</t>
        </is>
      </c>
      <c r="D29" s="76" t="inlineStr">
        <is>
          <t>number</t>
        </is>
      </c>
      <c r="E29" s="76" t="inlineStr">
        <is>
          <t>number</t>
        </is>
      </c>
      <c r="F29" s="76" t="inlineStr">
        <is>
          <t>— (default rule)</t>
        </is>
      </c>
      <c r="G29" s="83" t="inlineStr">
        <is>
          <t>Not in the table: costs 1, plus half its number (rounded down) when over 1</t>
        </is>
      </c>
      <c r="H29" s="84" t="n"/>
      <c r="I29" s="83" t="n"/>
      <c r="J29" s="76" t="n">
        <v>1</v>
      </c>
    </row>
    <row r="30">
      <c r="A30" s="76" t="inlineStr">
        <is>
          <t>packLeader</t>
        </is>
      </c>
      <c r="B30" s="76" t="inlineStr">
        <is>
          <t>🐺👑</t>
        </is>
      </c>
      <c r="C30" s="76" t="inlineStr">
        <is>
          <t>Pack Leader</t>
        </is>
      </c>
      <c r="D30" s="76" t="inlineStr">
        <is>
          <t>flag</t>
        </is>
      </c>
      <c r="E30" s="76" t="inlineStr">
        <is>
          <t>boolean</t>
        </is>
      </c>
      <c r="F30" s="76" t="inlineStr">
        <is>
          <t>— (default rule)</t>
        </is>
      </c>
      <c r="G30" s="83" t="inlineStr">
        <is>
          <t>Not in the table: costs 1</t>
        </is>
      </c>
      <c r="H30" s="84" t="n"/>
      <c r="I30" s="83" t="n"/>
      <c r="J30" s="76" t="n">
        <v>1</v>
      </c>
    </row>
    <row r="31">
      <c r="A31" s="76" t="inlineStr">
        <is>
          <t>sweep</t>
        </is>
      </c>
      <c r="B31" s="76" t="inlineStr">
        <is>
          <t>🪓</t>
        </is>
      </c>
      <c r="C31" s="76" t="inlineStr">
        <is>
          <t>Cleave</t>
        </is>
      </c>
      <c r="D31" s="76" t="inlineStr">
        <is>
          <t>number</t>
        </is>
      </c>
      <c r="E31" s="76" t="inlineStr">
        <is>
          <t>number</t>
        </is>
      </c>
      <c r="F31" s="76" t="inlineStr">
        <is>
          <t>— (default rule)</t>
        </is>
      </c>
      <c r="G31" s="83" t="inlineStr">
        <is>
          <t>Not in the table: costs 1, plus half its number (rounded down) when over 1</t>
        </is>
      </c>
      <c r="H31" s="84" t="n"/>
      <c r="I31" s="83" t="n"/>
      <c r="J31" s="76" t="n">
        <v>19</v>
      </c>
    </row>
    <row r="32">
      <c r="A32" s="76" t="inlineStr">
        <is>
          <t>rage</t>
        </is>
      </c>
      <c r="B32" s="76" t="inlineStr">
        <is>
          <t>😡</t>
        </is>
      </c>
      <c r="C32" s="76" t="inlineStr">
        <is>
          <t>Rage</t>
        </is>
      </c>
      <c r="D32" s="76" t="inlineStr">
        <is>
          <t>flag</t>
        </is>
      </c>
      <c r="E32" s="76" t="inlineStr">
        <is>
          <t>boolean</t>
        </is>
      </c>
      <c r="F32" s="76" t="inlineStr">
        <is>
          <t>— (default rule)</t>
        </is>
      </c>
      <c r="G32" s="83" t="inlineStr">
        <is>
          <t>Not in the table: costs 1</t>
        </is>
      </c>
      <c r="H32" s="84" t="n"/>
      <c r="I32" s="83" t="n"/>
      <c r="J32" s="76" t="n">
        <v>8</v>
      </c>
    </row>
    <row r="33">
      <c r="A33" s="76" t="inlineStr">
        <is>
          <t>immolation</t>
        </is>
      </c>
      <c r="B33" s="76" t="inlineStr">
        <is>
          <t>🔥</t>
        </is>
      </c>
      <c r="C33" s="76" t="inlineStr">
        <is>
          <t>Immolation</t>
        </is>
      </c>
      <c r="D33" s="76" t="inlineStr">
        <is>
          <t>number</t>
        </is>
      </c>
      <c r="E33" s="76" t="inlineStr">
        <is>
          <t>number</t>
        </is>
      </c>
      <c r="F33" s="76" t="inlineStr">
        <is>
          <t>— (default rule)</t>
        </is>
      </c>
      <c r="G33" s="83" t="inlineStr">
        <is>
          <t>Not in the table: costs 1, plus half its number (rounded down) when over 1</t>
        </is>
      </c>
      <c r="H33" s="84" t="n"/>
      <c r="I33" s="83" t="n"/>
      <c r="J33" s="76" t="n">
        <v>3</v>
      </c>
    </row>
    <row r="34">
      <c r="A34" s="76" t="inlineStr">
        <is>
          <t>swarm</t>
        </is>
      </c>
      <c r="B34" s="76" t="inlineStr">
        <is>
          <t>🐜</t>
        </is>
      </c>
      <c r="C34" s="76" t="inlineStr">
        <is>
          <t>Swarm</t>
        </is>
      </c>
      <c r="D34" s="76" t="inlineStr">
        <is>
          <t>number</t>
        </is>
      </c>
      <c r="E34" s="76" t="inlineStr">
        <is>
          <t>types</t>
        </is>
      </c>
      <c r="F34" s="76" t="inlineStr">
        <is>
          <t>— (default rule)</t>
        </is>
      </c>
      <c r="G34" s="83" t="inlineStr">
        <is>
          <t>Not in the table: costs 1, plus half its number (rounded down) when over 1</t>
        </is>
      </c>
      <c r="H34" s="84" t="n"/>
      <c r="I34" s="83" t="n"/>
      <c r="J34" s="76" t="n">
        <v>8</v>
      </c>
    </row>
    <row r="35">
      <c r="A35" s="76" t="inlineStr">
        <is>
          <t>hiveMind</t>
        </is>
      </c>
      <c r="B35" s="76" t="inlineStr">
        <is>
          <t>🧠</t>
        </is>
      </c>
      <c r="C35" s="76" t="inlineStr">
        <is>
          <t>Hive Mind</t>
        </is>
      </c>
      <c r="D35" s="76" t="inlineStr">
        <is>
          <t>flag</t>
        </is>
      </c>
      <c r="E35" s="76" t="inlineStr">
        <is>
          <t>boolean</t>
        </is>
      </c>
      <c r="F35" s="76" t="inlineStr">
        <is>
          <t>— (default rule)</t>
        </is>
      </c>
      <c r="G35" s="83" t="inlineStr">
        <is>
          <t>Not in the table: costs 1</t>
        </is>
      </c>
      <c r="H35" s="84" t="n"/>
      <c r="I35" s="83" t="n"/>
      <c r="J35" s="76" t="n">
        <v>0</v>
      </c>
    </row>
    <row r="36">
      <c r="A36" s="76" t="inlineStr">
        <is>
          <t>crepuscular</t>
        </is>
      </c>
      <c r="B36" s="76" t="inlineStr">
        <is>
          <t>🌆</t>
        </is>
      </c>
      <c r="C36" s="76" t="inlineStr">
        <is>
          <t>Crepuscular</t>
        </is>
      </c>
      <c r="D36" s="76" t="inlineStr">
        <is>
          <t>number</t>
        </is>
      </c>
      <c r="E36" s="76" t="inlineStr">
        <is>
          <t>twoNumber</t>
        </is>
      </c>
      <c r="F36" s="76" t="n">
        <v>1</v>
      </c>
      <c r="G36" s="83" t="inlineStr">
        <is>
          <t>Fixed: costs 1 whatever its number</t>
        </is>
      </c>
      <c r="H36" s="84" t="n"/>
      <c r="I36" s="83" t="n"/>
      <c r="J36" s="76" t="n">
        <v>1</v>
      </c>
    </row>
    <row r="37">
      <c r="A37" s="76" t="inlineStr">
        <is>
          <t>sunshy</t>
        </is>
      </c>
      <c r="B37" s="76" t="inlineStr">
        <is>
          <t>🕶️</t>
        </is>
      </c>
      <c r="C37" s="76" t="inlineStr">
        <is>
          <t>Sun-shy</t>
        </is>
      </c>
      <c r="D37" s="76" t="inlineStr">
        <is>
          <t>flag</t>
        </is>
      </c>
      <c r="E37" s="76" t="inlineStr">
        <is>
          <t>boolean</t>
        </is>
      </c>
      <c r="F37" s="76" t="inlineStr">
        <is>
          <t>— (default rule)</t>
        </is>
      </c>
      <c r="G37" s="83" t="inlineStr">
        <is>
          <t>Not in the table: costs 1</t>
        </is>
      </c>
      <c r="H37" s="84" t="n"/>
      <c r="I37" s="83" t="n"/>
      <c r="J37" s="76" t="n">
        <v>1</v>
      </c>
    </row>
    <row r="38">
      <c r="A38" s="76" t="inlineStr">
        <is>
          <t>nightblind</t>
        </is>
      </c>
      <c r="B38" s="76" t="inlineStr">
        <is>
          <t>🌑</t>
        </is>
      </c>
      <c r="C38" s="76" t="inlineStr">
        <is>
          <t>Night-blind</t>
        </is>
      </c>
      <c r="D38" s="76" t="inlineStr">
        <is>
          <t>flag</t>
        </is>
      </c>
      <c r="E38" s="76" t="inlineStr">
        <is>
          <t>boolean</t>
        </is>
      </c>
      <c r="F38" s="76" t="inlineStr">
        <is>
          <t>— (default rule)</t>
        </is>
      </c>
      <c r="G38" s="83" t="inlineStr">
        <is>
          <t>Not in the table: costs 1</t>
        </is>
      </c>
      <c r="H38" s="84" t="n"/>
      <c r="I38" s="83" t="n"/>
      <c r="J38" s="76" t="n">
        <v>1</v>
      </c>
    </row>
    <row r="39">
      <c r="A39" s="76" t="inlineStr">
        <is>
          <t>nocturnal</t>
        </is>
      </c>
      <c r="B39" s="76" t="inlineStr">
        <is>
          <t>🌙</t>
        </is>
      </c>
      <c r="C39" s="76" t="inlineStr">
        <is>
          <t>Nocturnal</t>
        </is>
      </c>
      <c r="D39" s="76" t="inlineStr">
        <is>
          <t>number</t>
        </is>
      </c>
      <c r="E39" s="76" t="inlineStr">
        <is>
          <t>twoNumber</t>
        </is>
      </c>
      <c r="F39" s="76" t="n">
        <v>1</v>
      </c>
      <c r="G39" s="83" t="inlineStr">
        <is>
          <t>Fixed: costs 1 whatever its number</t>
        </is>
      </c>
      <c r="H39" s="84" t="n"/>
      <c r="I39" s="83" t="n"/>
      <c r="J39" s="76" t="n">
        <v>38</v>
      </c>
    </row>
    <row r="40">
      <c r="A40" s="76" t="inlineStr">
        <is>
          <t>diurnal</t>
        </is>
      </c>
      <c r="B40" s="76" t="inlineStr">
        <is>
          <t>☀️</t>
        </is>
      </c>
      <c r="C40" s="76" t="inlineStr">
        <is>
          <t>Diurnal</t>
        </is>
      </c>
      <c r="D40" s="76" t="inlineStr">
        <is>
          <t>number</t>
        </is>
      </c>
      <c r="E40" s="76" t="inlineStr">
        <is>
          <t>twoNumber</t>
        </is>
      </c>
      <c r="F40" s="76" t="n">
        <v>1</v>
      </c>
      <c r="G40" s="83" t="inlineStr">
        <is>
          <t>Fixed: costs 1 whatever its number</t>
        </is>
      </c>
      <c r="H40" s="84" t="n"/>
      <c r="I40" s="83" t="n"/>
      <c r="J40" s="76" t="n">
        <v>15</v>
      </c>
    </row>
    <row r="41">
      <c r="A41" s="76" t="inlineStr">
        <is>
          <t>diurnalGrant</t>
        </is>
      </c>
      <c r="B41" s="76" t="inlineStr"/>
      <c r="C41" s="76" t="inlineStr">
        <is>
          <t>Diurnal</t>
        </is>
      </c>
      <c r="D41" s="76" t="inlineStr">
        <is>
          <t>number</t>
        </is>
      </c>
      <c r="E41" s="76" t="inlineStr">
        <is>
          <t>grant</t>
        </is>
      </c>
      <c r="F41" s="76" t="inlineStr">
        <is>
          <t>— (default rule)</t>
        </is>
      </c>
      <c r="G41" s="83" t="inlineStr">
        <is>
          <t>Not in the table: costs 1, plus half its number (rounded down) when over 1</t>
        </is>
      </c>
      <c r="H41" s="84" t="n"/>
      <c r="I41" s="83" t="n"/>
      <c r="J41" s="76" t="n">
        <v>1</v>
      </c>
    </row>
    <row r="42">
      <c r="A42" s="76" t="inlineStr">
        <is>
          <t>nocturnalGrant</t>
        </is>
      </c>
      <c r="B42" s="76" t="inlineStr"/>
      <c r="C42" s="76" t="inlineStr">
        <is>
          <t>Nocturnal</t>
        </is>
      </c>
      <c r="D42" s="76" t="inlineStr">
        <is>
          <t>number</t>
        </is>
      </c>
      <c r="E42" s="76" t="inlineStr">
        <is>
          <t>grant</t>
        </is>
      </c>
      <c r="F42" s="76" t="inlineStr">
        <is>
          <t>— (default rule)</t>
        </is>
      </c>
      <c r="G42" s="83" t="inlineStr">
        <is>
          <t>Not in the table: costs 1, plus half its number (rounded down) when over 1</t>
        </is>
      </c>
      <c r="H42" s="84" t="n"/>
      <c r="I42" s="83" t="n"/>
      <c r="J42" s="76" t="n">
        <v>1</v>
      </c>
    </row>
    <row r="43">
      <c r="A43" s="76" t="inlineStr">
        <is>
          <t>tideGrant</t>
        </is>
      </c>
      <c r="B43" s="76" t="inlineStr"/>
      <c r="C43" s="76" t="inlineStr">
        <is>
          <t>Tide</t>
        </is>
      </c>
      <c r="D43" s="76" t="inlineStr">
        <is>
          <t>number</t>
        </is>
      </c>
      <c r="E43" s="76" t="inlineStr">
        <is>
          <t>grant2</t>
        </is>
      </c>
      <c r="F43" s="76" t="inlineStr">
        <is>
          <t>— (default rule)</t>
        </is>
      </c>
      <c r="G43" s="83" t="inlineStr">
        <is>
          <t>Not in the table: costs 1, plus half its number (rounded down) when over 1</t>
        </is>
      </c>
      <c r="H43" s="84" t="n"/>
      <c r="I43" s="83" t="n"/>
      <c r="J43" s="76" t="n">
        <v>1</v>
      </c>
    </row>
    <row r="44">
      <c r="A44" s="76" t="inlineStr">
        <is>
          <t>fullMoon</t>
        </is>
      </c>
      <c r="B44" s="76" t="inlineStr"/>
      <c r="C44" s="76" t="inlineStr">
        <is>
          <t>Full Moon</t>
        </is>
      </c>
      <c r="D44" s="76" t="inlineStr">
        <is>
          <t>number</t>
        </is>
      </c>
      <c r="E44" s="76" t="inlineStr">
        <is>
          <t>number</t>
        </is>
      </c>
      <c r="F44" s="76" t="inlineStr">
        <is>
          <t>— (default rule)</t>
        </is>
      </c>
      <c r="G44" s="83" t="inlineStr">
        <is>
          <t>Not in the table: costs 1, plus half its number (rounded down) when over 1</t>
        </is>
      </c>
      <c r="H44" s="84" t="n"/>
      <c r="I44" s="83" t="n"/>
      <c r="J44" s="76" t="n">
        <v>1</v>
      </c>
    </row>
    <row r="45">
      <c r="A45" s="76" t="inlineStr">
        <is>
          <t>fullMoonGrant</t>
        </is>
      </c>
      <c r="B45" s="76" t="inlineStr"/>
      <c r="C45" s="76" t="inlineStr">
        <is>
          <t>Full Moon</t>
        </is>
      </c>
      <c r="D45" s="76" t="inlineStr">
        <is>
          <t>number</t>
        </is>
      </c>
      <c r="E45" s="76" t="inlineStr">
        <is>
          <t>grant</t>
        </is>
      </c>
      <c r="F45" s="76" t="inlineStr">
        <is>
          <t>— (default rule)</t>
        </is>
      </c>
      <c r="G45" s="83" t="inlineStr">
        <is>
          <t>Not in the table: costs 1, plus half its number (rounded down) when over 1</t>
        </is>
      </c>
      <c r="H45" s="84" t="n"/>
      <c r="I45" s="83" t="n"/>
      <c r="J45" s="76" t="n">
        <v>1</v>
      </c>
    </row>
    <row r="46">
      <c r="A46" s="76" t="inlineStr">
        <is>
          <t>reach</t>
        </is>
      </c>
      <c r="B46" s="76" t="inlineStr">
        <is>
          <t>🏹</t>
        </is>
      </c>
      <c r="C46" s="76" t="inlineStr">
        <is>
          <t>Reach</t>
        </is>
      </c>
      <c r="D46" s="76" t="inlineStr">
        <is>
          <t>flag</t>
        </is>
      </c>
      <c r="E46" s="76" t="inlineStr">
        <is>
          <t>boolean</t>
        </is>
      </c>
      <c r="F46" s="76" t="inlineStr">
        <is>
          <t>— (default rule)</t>
        </is>
      </c>
      <c r="G46" s="83" t="inlineStr">
        <is>
          <t>Not in the table: costs 1</t>
        </is>
      </c>
      <c r="H46" s="84" t="n"/>
      <c r="I46" s="83" t="n"/>
      <c r="J46" s="76" t="n">
        <v>4</v>
      </c>
    </row>
    <row r="47">
      <c r="A47" s="76" t="inlineStr">
        <is>
          <t>festering</t>
        </is>
      </c>
      <c r="B47" s="76" t="inlineStr">
        <is>
          <t>🦠</t>
        </is>
      </c>
      <c r="C47" s="76" t="inlineStr">
        <is>
          <t>Lingering</t>
        </is>
      </c>
      <c r="D47" s="76" t="inlineStr">
        <is>
          <t>flag</t>
        </is>
      </c>
      <c r="E47" s="76" t="inlineStr">
        <is>
          <t>boolean</t>
        </is>
      </c>
      <c r="F47" s="76" t="inlineStr">
        <is>
          <t>— (default rule)</t>
        </is>
      </c>
      <c r="G47" s="83" t="inlineStr">
        <is>
          <t>Not in the table: costs 1</t>
        </is>
      </c>
      <c r="H47" s="84" t="n"/>
      <c r="I47" s="83" t="n"/>
      <c r="J47" s="76" t="n">
        <v>1</v>
      </c>
    </row>
    <row r="48">
      <c r="A48" s="76" t="inlineStr">
        <is>
          <t>leader</t>
        </is>
      </c>
      <c r="B48" s="76" t="inlineStr">
        <is>
          <t>👑</t>
        </is>
      </c>
      <c r="C48" s="76" t="inlineStr">
        <is>
          <t>Natural Leader</t>
        </is>
      </c>
      <c r="D48" s="76" t="inlineStr">
        <is>
          <t>flag</t>
        </is>
      </c>
      <c r="E48" s="76" t="inlineStr">
        <is>
          <t>boolean</t>
        </is>
      </c>
      <c r="F48" s="76" t="n">
        <v>0</v>
      </c>
      <c r="G48" s="83" t="inlineStr">
        <is>
          <t>Fixed: costs 0</t>
        </is>
      </c>
      <c r="H48" s="84" t="n"/>
      <c r="I48" s="83" t="n"/>
      <c r="J48" s="76" t="n">
        <v>2</v>
      </c>
    </row>
    <row r="49">
      <c r="A49" s="76" t="inlineStr">
        <is>
          <t>dictator</t>
        </is>
      </c>
      <c r="B49" s="76" t="inlineStr">
        <is>
          <t>📜</t>
        </is>
      </c>
      <c r="C49" s="76" t="inlineStr">
        <is>
          <t>Dictator</t>
        </is>
      </c>
      <c r="D49" s="76" t="inlineStr">
        <is>
          <t>flag</t>
        </is>
      </c>
      <c r="E49" s="76" t="inlineStr">
        <is>
          <t>boolean</t>
        </is>
      </c>
      <c r="F49" s="76" t="inlineStr">
        <is>
          <t>— (default rule)</t>
        </is>
      </c>
      <c r="G49" s="83" t="inlineStr">
        <is>
          <t>Not in the table: costs 1</t>
        </is>
      </c>
      <c r="H49" s="84" t="n"/>
      <c r="I49" s="83" t="n"/>
      <c r="J49" s="76" t="n">
        <v>1</v>
      </c>
    </row>
    <row r="50">
      <c r="A50" s="76" t="inlineStr">
        <is>
          <t>changeling</t>
        </is>
      </c>
      <c r="B50" s="76" t="inlineStr">
        <is>
          <t>🎭</t>
        </is>
      </c>
      <c r="C50" s="76" t="inlineStr">
        <is>
          <t>Changeling</t>
        </is>
      </c>
      <c r="D50" s="76" t="inlineStr">
        <is>
          <t>flag</t>
        </is>
      </c>
      <c r="E50" s="76" t="inlineStr">
        <is>
          <t>boolean</t>
        </is>
      </c>
      <c r="F50" s="76" t="inlineStr">
        <is>
          <t>— (default rule)</t>
        </is>
      </c>
      <c r="G50" s="83" t="inlineStr">
        <is>
          <t>Not in the table: costs 1</t>
        </is>
      </c>
      <c r="H50" s="84" t="n"/>
      <c r="I50" s="83" t="n"/>
      <c r="J50" s="76" t="n">
        <v>3</v>
      </c>
    </row>
    <row r="51">
      <c r="A51" s="76" t="inlineStr">
        <is>
          <t>drunk</t>
        </is>
      </c>
      <c r="B51" s="76" t="inlineStr">
        <is>
          <t>🍺</t>
        </is>
      </c>
      <c r="C51" s="76" t="inlineStr">
        <is>
          <t>Drunk</t>
        </is>
      </c>
      <c r="D51" s="76" t="inlineStr">
        <is>
          <t>flag</t>
        </is>
      </c>
      <c r="E51" s="76" t="inlineStr">
        <is>
          <t>boolean</t>
        </is>
      </c>
      <c r="F51" s="76" t="inlineStr">
        <is>
          <t>— (default rule)</t>
        </is>
      </c>
      <c r="G51" s="83" t="inlineStr">
        <is>
          <t>Not in the table: costs 1</t>
        </is>
      </c>
      <c r="H51" s="84" t="n"/>
      <c r="I51" s="83" t="n"/>
      <c r="J51" s="76" t="n">
        <v>1</v>
      </c>
    </row>
    <row r="52">
      <c r="A52" s="76" t="inlineStr">
        <is>
          <t>purblind</t>
        </is>
      </c>
      <c r="B52" s="76" t="inlineStr">
        <is>
          <t>🕶️</t>
        </is>
      </c>
      <c r="C52" s="76" t="inlineStr">
        <is>
          <t>Purblind</t>
        </is>
      </c>
      <c r="D52" s="76" t="inlineStr">
        <is>
          <t>flag</t>
        </is>
      </c>
      <c r="E52" s="76" t="inlineStr">
        <is>
          <t>boolean</t>
        </is>
      </c>
      <c r="F52" s="76" t="inlineStr">
        <is>
          <t>— (default rule)</t>
        </is>
      </c>
      <c r="G52" s="83" t="inlineStr">
        <is>
          <t>Not in the table: costs 1</t>
        </is>
      </c>
      <c r="H52" s="84" t="n"/>
      <c r="I52" s="83" t="n"/>
      <c r="J52" s="76" t="n">
        <v>1</v>
      </c>
    </row>
    <row r="53">
      <c r="A53" s="76" t="inlineStr">
        <is>
          <t>scatterbrained</t>
        </is>
      </c>
      <c r="B53" s="76" t="inlineStr">
        <is>
          <t>🌀</t>
        </is>
      </c>
      <c r="C53" s="76" t="inlineStr">
        <is>
          <t>Scatterbrained</t>
        </is>
      </c>
      <c r="D53" s="76" t="inlineStr">
        <is>
          <t>flag</t>
        </is>
      </c>
      <c r="E53" s="76" t="inlineStr">
        <is>
          <t>boolean</t>
        </is>
      </c>
      <c r="F53" s="76" t="inlineStr">
        <is>
          <t>— (default rule)</t>
        </is>
      </c>
      <c r="G53" s="83" t="inlineStr">
        <is>
          <t>Not in the table: costs 1</t>
        </is>
      </c>
      <c r="H53" s="84" t="n"/>
      <c r="I53" s="83" t="n"/>
      <c r="J53" s="76" t="n">
        <v>1</v>
      </c>
    </row>
    <row r="54">
      <c r="A54" s="76" t="inlineStr">
        <is>
          <t>primed</t>
        </is>
      </c>
      <c r="B54" s="76" t="inlineStr">
        <is>
          <t>🔋</t>
        </is>
      </c>
      <c r="C54" s="76" t="inlineStr">
        <is>
          <t>Primed</t>
        </is>
      </c>
      <c r="D54" s="76" t="inlineStr">
        <is>
          <t>flag</t>
        </is>
      </c>
      <c r="E54" s="76" t="inlineStr">
        <is>
          <t>boolean</t>
        </is>
      </c>
      <c r="F54" s="76" t="inlineStr">
        <is>
          <t>— (default rule)</t>
        </is>
      </c>
      <c r="G54" s="83" t="inlineStr">
        <is>
          <t>Not in the table: costs 1</t>
        </is>
      </c>
      <c r="H54" s="84" t="n"/>
      <c r="I54" s="83" t="n"/>
      <c r="J54" s="76" t="n">
        <v>1</v>
      </c>
    </row>
    <row r="55">
      <c r="A55" s="76" t="inlineStr">
        <is>
          <t>keenEye</t>
        </is>
      </c>
      <c r="B55" s="76" t="inlineStr">
        <is>
          <t>👁️</t>
        </is>
      </c>
      <c r="C55" s="76" t="inlineStr">
        <is>
          <t>Keen Eye</t>
        </is>
      </c>
      <c r="D55" s="76" t="inlineStr">
        <is>
          <t>flag</t>
        </is>
      </c>
      <c r="E55" s="76" t="inlineStr">
        <is>
          <t>boolean</t>
        </is>
      </c>
      <c r="F55" s="76" t="inlineStr">
        <is>
          <t>— (default rule)</t>
        </is>
      </c>
      <c r="G55" s="83" t="inlineStr">
        <is>
          <t>Not in the table: costs 1</t>
        </is>
      </c>
      <c r="H55" s="84" t="n"/>
      <c r="I55" s="83" t="n"/>
      <c r="J55" s="76" t="n">
        <v>3</v>
      </c>
    </row>
    <row r="56">
      <c r="A56" s="76" t="inlineStr">
        <is>
          <t>demolisher</t>
        </is>
      </c>
      <c r="B56" s="76" t="inlineStr">
        <is>
          <t>⛏️</t>
        </is>
      </c>
      <c r="C56" s="76" t="inlineStr">
        <is>
          <t>Demolisher</t>
        </is>
      </c>
      <c r="D56" s="76" t="inlineStr">
        <is>
          <t>number</t>
        </is>
      </c>
      <c r="E56" s="76" t="inlineStr">
        <is>
          <t>number</t>
        </is>
      </c>
      <c r="F56" s="76" t="inlineStr">
        <is>
          <t>— (default rule)</t>
        </is>
      </c>
      <c r="G56" s="83" t="inlineStr">
        <is>
          <t>Not in the table: costs 1, plus half its number (rounded down) when over 1</t>
        </is>
      </c>
      <c r="H56" s="84" t="n"/>
      <c r="I56" s="83" t="n"/>
      <c r="J56" s="76" t="n">
        <v>5</v>
      </c>
    </row>
    <row r="57">
      <c r="A57" s="76" t="inlineStr">
        <is>
          <t>illuminate</t>
        </is>
      </c>
      <c r="B57" s="76" t="inlineStr">
        <is>
          <t>🏮</t>
        </is>
      </c>
      <c r="C57" s="76" t="inlineStr">
        <is>
          <t>Illuminate</t>
        </is>
      </c>
      <c r="D57" s="76" t="inlineStr">
        <is>
          <t>flag</t>
        </is>
      </c>
      <c r="E57" s="76" t="inlineStr">
        <is>
          <t>boolean</t>
        </is>
      </c>
      <c r="F57" s="76" t="inlineStr">
        <is>
          <t>— (default rule)</t>
        </is>
      </c>
      <c r="G57" s="83" t="inlineStr">
        <is>
          <t>Not in the table: costs 1</t>
        </is>
      </c>
      <c r="H57" s="84" t="n"/>
      <c r="I57" s="83" t="n"/>
      <c r="J57" s="76" t="n">
        <v>3</v>
      </c>
    </row>
    <row r="58">
      <c r="A58" s="76" t="inlineStr">
        <is>
          <t>lantern</t>
        </is>
      </c>
      <c r="B58" s="76" t="inlineStr">
        <is>
          <t>🏮</t>
        </is>
      </c>
      <c r="C58" s="76" t="inlineStr">
        <is>
          <t>Lantern</t>
        </is>
      </c>
      <c r="D58" s="76" t="inlineStr">
        <is>
          <t>flag</t>
        </is>
      </c>
      <c r="E58" s="76" t="inlineStr">
        <is>
          <t>boolean</t>
        </is>
      </c>
      <c r="F58" s="76" t="inlineStr">
        <is>
          <t>— (default rule)</t>
        </is>
      </c>
      <c r="G58" s="83" t="inlineStr">
        <is>
          <t>Not in the table: costs 1</t>
        </is>
      </c>
      <c r="H58" s="84" t="n"/>
      <c r="I58" s="83" t="n"/>
      <c r="J58" s="76" t="n">
        <v>0</v>
      </c>
    </row>
    <row r="59">
      <c r="A59" s="76" t="inlineStr">
        <is>
          <t>backstab</t>
        </is>
      </c>
      <c r="B59" s="76" t="inlineStr">
        <is>
          <t>🗡️</t>
        </is>
      </c>
      <c r="C59" s="76" t="inlineStr">
        <is>
          <t>Backstab</t>
        </is>
      </c>
      <c r="D59" s="76" t="inlineStr">
        <is>
          <t>number</t>
        </is>
      </c>
      <c r="E59" s="76" t="inlineStr">
        <is>
          <t>number</t>
        </is>
      </c>
      <c r="F59" s="76" t="inlineStr">
        <is>
          <t>— (default rule)</t>
        </is>
      </c>
      <c r="G59" s="83" t="inlineStr">
        <is>
          <t>Not in the table: costs 1, plus half its number (rounded down) when over 1</t>
        </is>
      </c>
      <c r="H59" s="84" t="n"/>
      <c r="I59" s="83" t="n"/>
      <c r="J59" s="76" t="n">
        <v>3</v>
      </c>
    </row>
    <row r="60">
      <c r="A60" s="76" t="inlineStr">
        <is>
          <t>shieldCall</t>
        </is>
      </c>
      <c r="B60" s="76" t="inlineStr">
        <is>
          <t>🛡️</t>
        </is>
      </c>
      <c r="C60" s="76" t="inlineStr">
        <is>
          <t>Shield Call</t>
        </is>
      </c>
      <c r="D60" s="76" t="inlineStr">
        <is>
          <t>flag</t>
        </is>
      </c>
      <c r="E60" s="76" t="inlineStr">
        <is>
          <t>boolean</t>
        </is>
      </c>
      <c r="F60" s="76" t="inlineStr">
        <is>
          <t>— (default rule)</t>
        </is>
      </c>
      <c r="G60" s="83" t="inlineStr">
        <is>
          <t>Not in the table: costs 1</t>
        </is>
      </c>
      <c r="H60" s="84" t="n"/>
      <c r="I60" s="83" t="n"/>
      <c r="J60" s="76" t="n">
        <v>2</v>
      </c>
    </row>
    <row r="61">
      <c r="A61" s="76" t="inlineStr">
        <is>
          <t>boomerang</t>
        </is>
      </c>
      <c r="B61" s="76" t="inlineStr">
        <is>
          <t>🪃</t>
        </is>
      </c>
      <c r="C61" s="76" t="inlineStr">
        <is>
          <t>Boomerang</t>
        </is>
      </c>
      <c r="D61" s="76" t="inlineStr">
        <is>
          <t>trigger</t>
        </is>
      </c>
      <c r="E61" s="76" t="inlineStr">
        <is>
          <t>boolean</t>
        </is>
      </c>
      <c r="F61" s="76" t="inlineStr">
        <is>
          <t>— (default rule)</t>
        </is>
      </c>
      <c r="G61" s="83" t="inlineStr">
        <is>
          <t>Not in the table: costs 1, plus half its number (rounded down) when over 1</t>
        </is>
      </c>
      <c r="H61" s="84" t="n"/>
      <c r="I61" s="83" t="n"/>
      <c r="J61" s="76" t="n">
        <v>3</v>
      </c>
    </row>
    <row r="62">
      <c r="A62" s="76" t="inlineStr">
        <is>
          <t>trident</t>
        </is>
      </c>
      <c r="B62" s="76" t="inlineStr">
        <is>
          <t>🔱</t>
        </is>
      </c>
      <c r="C62" s="76" t="inlineStr">
        <is>
          <t>Trident</t>
        </is>
      </c>
      <c r="D62" s="76" t="inlineStr">
        <is>
          <t>flag</t>
        </is>
      </c>
      <c r="E62" s="76" t="inlineStr">
        <is>
          <t>boolean</t>
        </is>
      </c>
      <c r="F62" s="76" t="inlineStr">
        <is>
          <t>— (default rule)</t>
        </is>
      </c>
      <c r="G62" s="83" t="inlineStr">
        <is>
          <t>Not in the table: costs 1</t>
        </is>
      </c>
      <c r="H62" s="84" t="n"/>
      <c r="I62" s="83" t="n"/>
      <c r="J62" s="76" t="n">
        <v>1</v>
      </c>
    </row>
    <row r="63">
      <c r="A63" s="76" t="inlineStr">
        <is>
          <t>pitchfork</t>
        </is>
      </c>
      <c r="B63" s="76" t="inlineStr">
        <is>
          <t>🍴</t>
        </is>
      </c>
      <c r="C63" s="76" t="inlineStr">
        <is>
          <t>Pitchfork</t>
        </is>
      </c>
      <c r="D63" s="76" t="inlineStr">
        <is>
          <t>flag</t>
        </is>
      </c>
      <c r="E63" s="76" t="inlineStr">
        <is>
          <t>boolean</t>
        </is>
      </c>
      <c r="F63" s="76" t="inlineStr">
        <is>
          <t>— (default rule)</t>
        </is>
      </c>
      <c r="G63" s="83" t="inlineStr">
        <is>
          <t>Not in the table: costs 1</t>
        </is>
      </c>
      <c r="H63" s="84" t="n"/>
      <c r="I63" s="83" t="n"/>
      <c r="J63" s="76" t="n">
        <v>1</v>
      </c>
    </row>
    <row r="64">
      <c r="A64" s="76" t="inlineStr">
        <is>
          <t>octolash</t>
        </is>
      </c>
      <c r="B64" s="76" t="inlineStr">
        <is>
          <t>🐙</t>
        </is>
      </c>
      <c r="C64" s="76" t="inlineStr">
        <is>
          <t>Octolash</t>
        </is>
      </c>
      <c r="D64" s="76" t="inlineStr">
        <is>
          <t>flag</t>
        </is>
      </c>
      <c r="E64" s="76" t="inlineStr">
        <is>
          <t>boolean</t>
        </is>
      </c>
      <c r="F64" s="76" t="inlineStr">
        <is>
          <t>— (default rule)</t>
        </is>
      </c>
      <c r="G64" s="83" t="inlineStr">
        <is>
          <t>Not in the table: costs 1</t>
        </is>
      </c>
      <c r="H64" s="84" t="n"/>
      <c r="I64" s="83" t="n"/>
      <c r="J64" s="76" t="n">
        <v>1</v>
      </c>
    </row>
    <row r="65">
      <c r="A65" s="76" t="inlineStr">
        <is>
          <t>speed</t>
        </is>
      </c>
      <c r="B65" s="76" t="inlineStr">
        <is>
          <t>🐇</t>
        </is>
      </c>
      <c r="C65" s="76" t="inlineStr">
        <is>
          <t>Speed</t>
        </is>
      </c>
      <c r="D65" s="76" t="inlineStr">
        <is>
          <t>number</t>
        </is>
      </c>
      <c r="E65" s="76" t="inlineStr">
        <is>
          <t>number</t>
        </is>
      </c>
      <c r="F65" s="76" t="inlineStr">
        <is>
          <t>— (default rule)</t>
        </is>
      </c>
      <c r="G65" s="83" t="inlineStr">
        <is>
          <t>Not in the table: costs 1, plus half its number (rounded down) when over 1</t>
        </is>
      </c>
      <c r="H65" s="84" t="n"/>
      <c r="I65" s="83" t="n"/>
      <c r="J65" s="76" t="n">
        <v>1</v>
      </c>
    </row>
    <row r="66">
      <c r="A66" s="76" t="inlineStr">
        <is>
          <t>haste</t>
        </is>
      </c>
      <c r="B66" s="76" t="inlineStr">
        <is>
          <t>🏃</t>
        </is>
      </c>
      <c r="C66" s="76" t="inlineStr">
        <is>
          <t>Haste</t>
        </is>
      </c>
      <c r="D66" s="76" t="inlineStr">
        <is>
          <t>flag</t>
        </is>
      </c>
      <c r="E66" s="76" t="inlineStr">
        <is>
          <t>boolean</t>
        </is>
      </c>
      <c r="F66" s="76" t="inlineStr">
        <is>
          <t>— (default rule)</t>
        </is>
      </c>
      <c r="G66" s="83" t="inlineStr">
        <is>
          <t>Not in the table: costs 1</t>
        </is>
      </c>
      <c r="H66" s="84" t="n"/>
      <c r="I66" s="83" t="n"/>
      <c r="J66" s="76" t="n">
        <v>1</v>
      </c>
    </row>
    <row r="67">
      <c r="A67" s="76" t="inlineStr">
        <is>
          <t>rabid</t>
        </is>
      </c>
      <c r="B67" s="76" t="inlineStr">
        <is>
          <t>🤬</t>
        </is>
      </c>
      <c r="C67" s="76" t="inlineStr">
        <is>
          <t>Rabid</t>
        </is>
      </c>
      <c r="D67" s="76" t="inlineStr">
        <is>
          <t>number</t>
        </is>
      </c>
      <c r="E67" s="76" t="inlineStr">
        <is>
          <t>number</t>
        </is>
      </c>
      <c r="F67" s="76" t="inlineStr">
        <is>
          <t>— (default rule)</t>
        </is>
      </c>
      <c r="G67" s="83" t="inlineStr">
        <is>
          <t>Not in the table: costs 1, plus half its number (rounded down) when over 1</t>
        </is>
      </c>
      <c r="H67" s="84" t="n"/>
      <c r="I67" s="83" t="n"/>
      <c r="J67" s="76" t="n">
        <v>1</v>
      </c>
    </row>
    <row r="68">
      <c r="A68" s="76" t="inlineStr">
        <is>
          <t>cower</t>
        </is>
      </c>
      <c r="B68" s="76" t="inlineStr">
        <is>
          <t>🫣</t>
        </is>
      </c>
      <c r="C68" s="76" t="inlineStr">
        <is>
          <t>Cower</t>
        </is>
      </c>
      <c r="D68" s="76" t="inlineStr">
        <is>
          <t>number</t>
        </is>
      </c>
      <c r="E68" s="76" t="inlineStr">
        <is>
          <t>select</t>
        </is>
      </c>
      <c r="F68" s="76" t="inlineStr">
        <is>
          <t>— (default rule)</t>
        </is>
      </c>
      <c r="G68" s="83" t="inlineStr">
        <is>
          <t>Not in the table: costs 1, plus half its number (rounded down) when over 1</t>
        </is>
      </c>
      <c r="H68" s="84" t="n"/>
      <c r="I68" s="83" t="n"/>
      <c r="J68" s="76" t="n">
        <v>1</v>
      </c>
    </row>
    <row r="69">
      <c r="A69" s="76" t="inlineStr">
        <is>
          <t>ghost</t>
        </is>
      </c>
      <c r="B69" s="76" t="inlineStr">
        <is>
          <t>👻</t>
        </is>
      </c>
      <c r="C69" s="76" t="inlineStr">
        <is>
          <t>Ghost</t>
        </is>
      </c>
      <c r="D69" s="76" t="inlineStr">
        <is>
          <t>flag</t>
        </is>
      </c>
      <c r="E69" s="76" t="inlineStr">
        <is>
          <t>boolean</t>
        </is>
      </c>
      <c r="F69" s="76" t="inlineStr">
        <is>
          <t>— (default rule)</t>
        </is>
      </c>
      <c r="G69" s="83" t="inlineStr">
        <is>
          <t>Not in the table: costs 1</t>
        </is>
      </c>
      <c r="H69" s="84" t="n"/>
      <c r="I69" s="83" t="n"/>
      <c r="J69" s="76" t="n">
        <v>1</v>
      </c>
    </row>
    <row r="70">
      <c r="A70" s="76" t="inlineStr">
        <is>
          <t>magic</t>
        </is>
      </c>
      <c r="B70" s="76" t="inlineStr">
        <is>
          <t>🪄</t>
        </is>
      </c>
      <c r="C70" s="76" t="inlineStr">
        <is>
          <t>Magic</t>
        </is>
      </c>
      <c r="D70" s="76" t="inlineStr">
        <is>
          <t>flag</t>
        </is>
      </c>
      <c r="E70" s="76" t="inlineStr">
        <is>
          <t>boolean</t>
        </is>
      </c>
      <c r="F70" s="76" t="inlineStr">
        <is>
          <t>— (default rule)</t>
        </is>
      </c>
      <c r="G70" s="83" t="inlineStr">
        <is>
          <t>Not in the table: costs 1</t>
        </is>
      </c>
      <c r="H70" s="84" t="n"/>
      <c r="I70" s="83" t="n"/>
      <c r="J70" s="76" t="n">
        <v>1</v>
      </c>
    </row>
    <row r="71">
      <c r="A71" s="76" t="inlineStr">
        <is>
          <t>ichor</t>
        </is>
      </c>
      <c r="B71" s="76" t="inlineStr">
        <is>
          <t>🧪</t>
        </is>
      </c>
      <c r="C71" s="76" t="inlineStr">
        <is>
          <t>Ichor</t>
        </is>
      </c>
      <c r="D71" s="76" t="inlineStr">
        <is>
          <t>number</t>
        </is>
      </c>
      <c r="E71" s="76" t="inlineStr">
        <is>
          <t>number</t>
        </is>
      </c>
      <c r="F71" s="76" t="inlineStr">
        <is>
          <t>— (default rule)</t>
        </is>
      </c>
      <c r="G71" s="83" t="inlineStr">
        <is>
          <t>Not in the table: costs 1, plus half its number (rounded down) when over 1</t>
        </is>
      </c>
      <c r="H71" s="84" t="n"/>
      <c r="I71" s="83" t="n"/>
      <c r="J71" s="76" t="n">
        <v>1</v>
      </c>
    </row>
    <row r="72">
      <c r="A72" s="76" t="inlineStr">
        <is>
          <t>irradiated</t>
        </is>
      </c>
      <c r="B72" s="76" t="inlineStr">
        <is>
          <t>☢️</t>
        </is>
      </c>
      <c r="C72" s="76" t="inlineStr">
        <is>
          <t>Irradiated</t>
        </is>
      </c>
      <c r="D72" s="76" t="inlineStr">
        <is>
          <t>number</t>
        </is>
      </c>
      <c r="E72" s="76" t="inlineStr">
        <is>
          <t>number</t>
        </is>
      </c>
      <c r="F72" s="76" t="inlineStr">
        <is>
          <t>— (default rule)</t>
        </is>
      </c>
      <c r="G72" s="83" t="inlineStr">
        <is>
          <t>Not in the table: costs 1, plus half its number (rounded down) when over 1</t>
        </is>
      </c>
      <c r="H72" s="84" t="n"/>
      <c r="I72" s="83" t="n"/>
      <c r="J72" s="76" t="n">
        <v>1</v>
      </c>
    </row>
    <row r="73">
      <c r="A73" s="76" t="inlineStr">
        <is>
          <t>shade</t>
        </is>
      </c>
      <c r="B73" s="76" t="inlineStr">
        <is>
          <t>🌫️</t>
        </is>
      </c>
      <c r="C73" s="76" t="inlineStr">
        <is>
          <t>Shade</t>
        </is>
      </c>
      <c r="D73" s="76" t="inlineStr">
        <is>
          <t>flag</t>
        </is>
      </c>
      <c r="E73" s="76" t="inlineStr">
        <is>
          <t>boolean</t>
        </is>
      </c>
      <c r="F73" s="76" t="inlineStr">
        <is>
          <t>— (default rule)</t>
        </is>
      </c>
      <c r="G73" s="83" t="inlineStr">
        <is>
          <t>Not in the table: costs 1</t>
        </is>
      </c>
      <c r="H73" s="84" t="n"/>
      <c r="I73" s="83" t="n"/>
      <c r="J73" s="76" t="n">
        <v>1</v>
      </c>
    </row>
    <row r="74">
      <c r="A74" s="76" t="inlineStr">
        <is>
          <t>shadow</t>
        </is>
      </c>
      <c r="B74" s="76" t="inlineStr">
        <is>
          <t>👤</t>
        </is>
      </c>
      <c r="C74" s="76" t="inlineStr">
        <is>
          <t>Shadow</t>
        </is>
      </c>
      <c r="D74" s="76" t="inlineStr">
        <is>
          <t>flag</t>
        </is>
      </c>
      <c r="E74" s="76" t="inlineStr">
        <is>
          <t>boolean</t>
        </is>
      </c>
      <c r="F74" s="76" t="n">
        <v>0</v>
      </c>
      <c r="G74" s="83" t="inlineStr">
        <is>
          <t>Costs 0: instead the card's whole score is ×1.5 (attacks miss it, or by it, about half the time)</t>
        </is>
      </c>
      <c r="H74" s="84" t="n"/>
      <c r="I74" s="83" t="n"/>
      <c r="J74" s="76" t="n">
        <v>1</v>
      </c>
    </row>
    <row r="75">
      <c r="A75" s="76" t="inlineStr">
        <is>
          <t>supreme</t>
        </is>
      </c>
      <c r="B75" s="76" t="inlineStr">
        <is>
          <t>✨</t>
        </is>
      </c>
      <c r="C75" s="76" t="inlineStr">
        <is>
          <t>Supreme</t>
        </is>
      </c>
      <c r="D75" s="76" t="inlineStr">
        <is>
          <t>flag</t>
        </is>
      </c>
      <c r="E75" s="76" t="inlineStr">
        <is>
          <t>boolean</t>
        </is>
      </c>
      <c r="F75" s="76" t="inlineStr">
        <is>
          <t>— (default rule)</t>
        </is>
      </c>
      <c r="G75" s="83" t="inlineStr">
        <is>
          <t>Not in the table: costs 1</t>
        </is>
      </c>
      <c r="H75" s="84" t="n"/>
      <c r="I75" s="83" t="n"/>
      <c r="J75" s="76" t="n">
        <v>5</v>
      </c>
    </row>
    <row r="76">
      <c r="A76" s="76" t="inlineStr">
        <is>
          <t>twin</t>
        </is>
      </c>
      <c r="B76" s="76" t="inlineStr">
        <is>
          <t>👯</t>
        </is>
      </c>
      <c r="C76" s="76" t="inlineStr">
        <is>
          <t>Twin</t>
        </is>
      </c>
      <c r="D76" s="76" t="inlineStr">
        <is>
          <t>trigger</t>
        </is>
      </c>
      <c r="E76" s="76" t="inlineStr">
        <is>
          <t>boolean</t>
        </is>
      </c>
      <c r="F76" s="76" t="inlineStr">
        <is>
          <t>— (default rule)</t>
        </is>
      </c>
      <c r="G76" s="83" t="inlineStr">
        <is>
          <t>Not in the table: costs 1, plus half its number (rounded down) when over 1</t>
        </is>
      </c>
      <c r="H76" s="84" t="n"/>
      <c r="I76" s="83" t="n"/>
      <c r="J76" s="76" t="n">
        <v>2</v>
      </c>
    </row>
    <row r="77">
      <c r="A77" s="76" t="inlineStr">
        <is>
          <t>sprout</t>
        </is>
      </c>
      <c r="B77" s="76" t="inlineStr">
        <is>
          <t>🌱</t>
        </is>
      </c>
      <c r="C77" s="76" t="inlineStr">
        <is>
          <t>Sprout</t>
        </is>
      </c>
      <c r="D77" s="76" t="inlineStr">
        <is>
          <t>trigger</t>
        </is>
      </c>
      <c r="E77" s="76" t="inlineStr">
        <is>
          <t>number</t>
        </is>
      </c>
      <c r="F77" s="76" t="inlineStr">
        <is>
          <t>— (default rule)</t>
        </is>
      </c>
      <c r="G77" s="83" t="inlineStr">
        <is>
          <t>Not in the table: costs 1, plus half its number (rounded down) when over 1</t>
        </is>
      </c>
      <c r="H77" s="84" t="n"/>
      <c r="I77" s="83" t="n"/>
      <c r="J77" s="76" t="n">
        <v>1</v>
      </c>
    </row>
    <row r="78">
      <c r="A78" s="76" t="inlineStr">
        <is>
          <t>growth</t>
        </is>
      </c>
      <c r="B78" s="76" t="inlineStr">
        <is>
          <t>🌿</t>
        </is>
      </c>
      <c r="C78" s="76" t="inlineStr">
        <is>
          <t>Growth</t>
        </is>
      </c>
      <c r="D78" s="76" t="inlineStr">
        <is>
          <t>flag</t>
        </is>
      </c>
      <c r="E78" s="76" t="inlineStr">
        <is>
          <t>boolean</t>
        </is>
      </c>
      <c r="F78" s="76" t="inlineStr">
        <is>
          <t>— (default rule)</t>
        </is>
      </c>
      <c r="G78" s="83" t="inlineStr">
        <is>
          <t>Not in the table: costs 1</t>
        </is>
      </c>
      <c r="H78" s="84" t="n"/>
      <c r="I78" s="83" t="n"/>
      <c r="J78" s="76" t="n">
        <v>2</v>
      </c>
    </row>
    <row r="79">
      <c r="A79" s="76" t="inlineStr">
        <is>
          <t>moonpull</t>
        </is>
      </c>
      <c r="B79" s="76" t="inlineStr">
        <is>
          <t>🌙🌊</t>
        </is>
      </c>
      <c r="C79" s="76" t="inlineStr">
        <is>
          <t>Moonpull</t>
        </is>
      </c>
      <c r="D79" s="76" t="inlineStr">
        <is>
          <t>trigger</t>
        </is>
      </c>
      <c r="E79" s="76" t="inlineStr">
        <is>
          <t>boolean</t>
        </is>
      </c>
      <c r="F79" s="76" t="inlineStr">
        <is>
          <t>— (default rule)</t>
        </is>
      </c>
      <c r="G79" s="83" t="inlineStr">
        <is>
          <t>Not in the table: costs 1, plus half its number (rounded down) when over 1</t>
        </is>
      </c>
      <c r="H79" s="84" t="n"/>
      <c r="I79" s="83" t="n"/>
      <c r="J79" s="76" t="n">
        <v>1</v>
      </c>
    </row>
    <row r="80">
      <c r="A80" s="76" t="inlineStr">
        <is>
          <t>bloomWhen</t>
        </is>
      </c>
      <c r="B80" s="76" t="inlineStr">
        <is>
          <t>🌷</t>
        </is>
      </c>
      <c r="C80" s="76" t="inlineStr">
        <is>
          <t>Bloom When</t>
        </is>
      </c>
      <c r="D80" s="76" t="inlineStr">
        <is>
          <t>number</t>
        </is>
      </c>
      <c r="E80" s="76" t="inlineStr">
        <is>
          <t>text</t>
        </is>
      </c>
      <c r="F80" s="76" t="inlineStr">
        <is>
          <t>— (default rule)</t>
        </is>
      </c>
      <c r="G80" s="83" t="inlineStr">
        <is>
          <t>Not in the table: costs 1, plus half its number (rounded down) when over 1</t>
        </is>
      </c>
      <c r="H80" s="84" t="n"/>
      <c r="I80" s="83" t="n"/>
      <c r="J80" s="76" t="n">
        <v>1</v>
      </c>
    </row>
    <row r="81">
      <c r="A81" s="76" t="inlineStr">
        <is>
          <t>wave</t>
        </is>
      </c>
      <c r="B81" s="76" t="inlineStr">
        <is>
          <t>〰️</t>
        </is>
      </c>
      <c r="C81" s="76" t="inlineStr">
        <is>
          <t>Wave</t>
        </is>
      </c>
      <c r="D81" s="76" t="inlineStr">
        <is>
          <t>number</t>
        </is>
      </c>
      <c r="E81" s="76" t="inlineStr">
        <is>
          <t>select</t>
        </is>
      </c>
      <c r="F81" s="76" t="inlineStr">
        <is>
          <t>— (default rule)</t>
        </is>
      </c>
      <c r="G81" s="83" t="inlineStr">
        <is>
          <t>Not in the table: costs 1, plus half its number (rounded down) when over 1</t>
        </is>
      </c>
      <c r="H81" s="84" t="n"/>
      <c r="I81" s="83" t="n"/>
      <c r="J81" s="76" t="n">
        <v>4</v>
      </c>
    </row>
    <row r="82">
      <c r="A82" s="76" t="inlineStr">
        <is>
          <t>crabClaws</t>
        </is>
      </c>
      <c r="B82" s="76" t="inlineStr">
        <is>
          <t>🦞</t>
        </is>
      </c>
      <c r="C82" s="76" t="inlineStr">
        <is>
          <t>Crab Claws</t>
        </is>
      </c>
      <c r="D82" s="76" t="inlineStr">
        <is>
          <t>flag</t>
        </is>
      </c>
      <c r="E82" s="76" t="inlineStr">
        <is>
          <t>boolean</t>
        </is>
      </c>
      <c r="F82" s="76" t="inlineStr">
        <is>
          <t>— (default rule)</t>
        </is>
      </c>
      <c r="G82" s="83" t="inlineStr">
        <is>
          <t>Not in the table: costs 1</t>
        </is>
      </c>
      <c r="H82" s="84" t="n"/>
      <c r="I82" s="83" t="n"/>
      <c r="J82" s="76" t="n">
        <v>0</v>
      </c>
    </row>
    <row r="83">
      <c r="A83" s="76" t="inlineStr">
        <is>
          <t>meiosis</t>
        </is>
      </c>
      <c r="B83" s="76" t="inlineStr">
        <is>
          <t>🧫</t>
        </is>
      </c>
      <c r="C83" s="76" t="inlineStr">
        <is>
          <t>Meiosis</t>
        </is>
      </c>
      <c r="D83" s="76" t="inlineStr">
        <is>
          <t>number</t>
        </is>
      </c>
      <c r="E83" s="76" t="inlineStr">
        <is>
          <t>number</t>
        </is>
      </c>
      <c r="F83" s="76" t="inlineStr">
        <is>
          <t>— (default rule)</t>
        </is>
      </c>
      <c r="G83" s="83" t="inlineStr">
        <is>
          <t>Not in the table: costs 1, plus half its number (rounded down) when over 1</t>
        </is>
      </c>
      <c r="H83" s="84" t="n"/>
      <c r="I83" s="83" t="n"/>
      <c r="J83" s="76" t="n">
        <v>1</v>
      </c>
    </row>
    <row r="84">
      <c r="A84" s="76" t="inlineStr">
        <is>
          <t>nullify</t>
        </is>
      </c>
      <c r="B84" s="76" t="inlineStr">
        <is>
          <t>🚫</t>
        </is>
      </c>
      <c r="C84" s="76" t="inlineStr">
        <is>
          <t>Nullify</t>
        </is>
      </c>
      <c r="D84" s="76" t="inlineStr">
        <is>
          <t>trigger</t>
        </is>
      </c>
      <c r="E84" s="76" t="inlineStr">
        <is>
          <t>boolean</t>
        </is>
      </c>
      <c r="F84" s="76" t="inlineStr">
        <is>
          <t>— (default rule)</t>
        </is>
      </c>
      <c r="G84" s="83" t="inlineStr">
        <is>
          <t>Not in the table: costs 1, plus half its number (rounded down) when over 1</t>
        </is>
      </c>
      <c r="H84" s="84" t="n"/>
      <c r="I84" s="83" t="n"/>
      <c r="J84" s="76" t="n">
        <v>1</v>
      </c>
    </row>
    <row r="85">
      <c r="A85" s="76" t="inlineStr">
        <is>
          <t>restless</t>
        </is>
      </c>
      <c r="B85" s="76" t="inlineStr">
        <is>
          <t>👣</t>
        </is>
      </c>
      <c r="C85" s="76" t="inlineStr">
        <is>
          <t>Restless</t>
        </is>
      </c>
      <c r="D85" s="76" t="inlineStr">
        <is>
          <t>flag</t>
        </is>
      </c>
      <c r="E85" s="76" t="inlineStr">
        <is>
          <t>boolean</t>
        </is>
      </c>
      <c r="F85" s="76" t="inlineStr">
        <is>
          <t>— (default rule)</t>
        </is>
      </c>
      <c r="G85" s="83" t="inlineStr">
        <is>
          <t>Not in the table: costs 1</t>
        </is>
      </c>
      <c r="H85" s="84" t="n"/>
      <c r="I85" s="83" t="n"/>
      <c r="J85" s="76" t="n">
        <v>0</v>
      </c>
    </row>
    <row r="86">
      <c r="A86" s="76" t="inlineStr">
        <is>
          <t>charge</t>
        </is>
      </c>
      <c r="B86" s="76" t="inlineStr">
        <is>
          <t>⏲️</t>
        </is>
      </c>
      <c r="C86" s="76" t="inlineStr">
        <is>
          <t>Charge</t>
        </is>
      </c>
      <c r="D86" s="76" t="inlineStr">
        <is>
          <t>trigger</t>
        </is>
      </c>
      <c r="E86" s="76" t="inlineStr">
        <is>
          <t>text</t>
        </is>
      </c>
      <c r="F86" s="76" t="inlineStr">
        <is>
          <t>— (default rule)</t>
        </is>
      </c>
      <c r="G86" s="83" t="inlineStr">
        <is>
          <t>Not in the table: costs 1, plus half its number (rounded down) when over 1</t>
        </is>
      </c>
      <c r="H86" s="84" t="n"/>
      <c r="I86" s="83" t="n"/>
      <c r="J86" s="76" t="n">
        <v>1</v>
      </c>
    </row>
    <row r="87">
      <c r="A87" s="76" t="inlineStr">
        <is>
          <t>supremeTide</t>
        </is>
      </c>
      <c r="B87" s="76" t="inlineStr">
        <is>
          <t>✨🌊</t>
        </is>
      </c>
      <c r="C87" s="76" t="inlineStr">
        <is>
          <t>Supreme Tide</t>
        </is>
      </c>
      <c r="D87" s="76" t="inlineStr">
        <is>
          <t>flag</t>
        </is>
      </c>
      <c r="E87" s="76" t="inlineStr">
        <is>
          <t>boolean</t>
        </is>
      </c>
      <c r="F87" s="76" t="inlineStr">
        <is>
          <t>— (default rule)</t>
        </is>
      </c>
      <c r="G87" s="83" t="inlineStr">
        <is>
          <t>Not in the table: costs 1</t>
        </is>
      </c>
      <c r="H87" s="84" t="n"/>
      <c r="I87" s="83" t="n"/>
      <c r="J87" s="76" t="n">
        <v>1</v>
      </c>
    </row>
    <row r="88">
      <c r="A88" s="76" t="inlineStr">
        <is>
          <t>brood</t>
        </is>
      </c>
      <c r="B88" s="76" t="inlineStr">
        <is>
          <t>🥚</t>
        </is>
      </c>
      <c r="C88" s="76" t="inlineStr">
        <is>
          <t>Brood</t>
        </is>
      </c>
      <c r="D88" s="76" t="inlineStr">
        <is>
          <t>trigger</t>
        </is>
      </c>
      <c r="E88" s="76" t="inlineStr">
        <is>
          <t>number</t>
        </is>
      </c>
      <c r="F88" s="76" t="inlineStr">
        <is>
          <t>— (default rule)</t>
        </is>
      </c>
      <c r="G88" s="83" t="inlineStr">
        <is>
          <t>Not in the table: costs 1, plus half its number (rounded down) when over 1</t>
        </is>
      </c>
      <c r="H88" s="84" t="n"/>
      <c r="I88" s="83" t="n"/>
      <c r="J88" s="76" t="n">
        <v>2</v>
      </c>
    </row>
    <row r="89">
      <c r="A89" s="76" t="inlineStr">
        <is>
          <t>rainmaker</t>
        </is>
      </c>
      <c r="B89" s="76" t="inlineStr">
        <is>
          <t>🌧️</t>
        </is>
      </c>
      <c r="C89" s="76" t="inlineStr">
        <is>
          <t>Rainmaker</t>
        </is>
      </c>
      <c r="D89" s="76" t="inlineStr">
        <is>
          <t>trigger</t>
        </is>
      </c>
      <c r="E89" s="76" t="inlineStr">
        <is>
          <t>number</t>
        </is>
      </c>
      <c r="F89" s="76" t="inlineStr">
        <is>
          <t>— (default rule)</t>
        </is>
      </c>
      <c r="G89" s="83" t="inlineStr">
        <is>
          <t>Not in the table: costs 1, plus half its number (rounded down) when over 1</t>
        </is>
      </c>
      <c r="H89" s="84" t="n"/>
      <c r="I89" s="83" t="n"/>
      <c r="J89" s="76" t="n">
        <v>1</v>
      </c>
    </row>
    <row r="90">
      <c r="A90" s="76" t="inlineStr">
        <is>
          <t>rainrunner</t>
        </is>
      </c>
      <c r="B90" s="76" t="inlineStr">
        <is>
          <t>🌦️</t>
        </is>
      </c>
      <c r="C90" s="76" t="inlineStr">
        <is>
          <t>Rainrunner</t>
        </is>
      </c>
      <c r="D90" s="76" t="inlineStr">
        <is>
          <t>number</t>
        </is>
      </c>
      <c r="E90" s="76" t="inlineStr">
        <is>
          <t>number</t>
        </is>
      </c>
      <c r="F90" s="76" t="inlineStr">
        <is>
          <t>— (default rule)</t>
        </is>
      </c>
      <c r="G90" s="83" t="inlineStr">
        <is>
          <t>Not in the table: costs 1, plus half its number (rounded down) when over 1</t>
        </is>
      </c>
      <c r="H90" s="84" t="n"/>
      <c r="I90" s="83" t="n"/>
      <c r="J90" s="76" t="n">
        <v>1</v>
      </c>
    </row>
    <row r="91">
      <c r="A91" s="76" t="inlineStr">
        <is>
          <t>moonborn</t>
        </is>
      </c>
      <c r="B91" s="76" t="inlineStr">
        <is>
          <t>🌕</t>
        </is>
      </c>
      <c r="C91" s="76" t="inlineStr">
        <is>
          <t>Moonborn</t>
        </is>
      </c>
      <c r="D91" s="76" t="inlineStr">
        <is>
          <t>number</t>
        </is>
      </c>
      <c r="E91" s="76" t="inlineStr">
        <is>
          <t>number</t>
        </is>
      </c>
      <c r="F91" s="76" t="inlineStr">
        <is>
          <t>— (default rule)</t>
        </is>
      </c>
      <c r="G91" s="83" t="inlineStr">
        <is>
          <t>Not in the table: costs 1, plus half its number (rounded down) when over 1</t>
        </is>
      </c>
      <c r="H91" s="84" t="n"/>
      <c r="I91" s="83" t="n"/>
      <c r="J91" s="76" t="n">
        <v>2</v>
      </c>
    </row>
    <row r="92">
      <c r="A92" s="76" t="inlineStr">
        <is>
          <t>frostbite</t>
        </is>
      </c>
      <c r="B92" s="76" t="inlineStr">
        <is>
          <t>🥶</t>
        </is>
      </c>
      <c r="C92" s="76" t="inlineStr">
        <is>
          <t>Frostbite</t>
        </is>
      </c>
      <c r="D92" s="76" t="inlineStr">
        <is>
          <t>number</t>
        </is>
      </c>
      <c r="E92" s="76" t="inlineStr">
        <is>
          <t>number</t>
        </is>
      </c>
      <c r="F92" s="76" t="inlineStr">
        <is>
          <t>— (default rule)</t>
        </is>
      </c>
      <c r="G92" s="83" t="inlineStr">
        <is>
          <t>Not in the table: costs 1, plus half its number (rounded down) when over 1</t>
        </is>
      </c>
      <c r="H92" s="84" t="n"/>
      <c r="I92" s="83" t="n"/>
      <c r="J92" s="76" t="n">
        <v>3</v>
      </c>
    </row>
    <row r="93">
      <c r="A93" s="76" t="inlineStr">
        <is>
          <t>swimmer</t>
        </is>
      </c>
      <c r="B93" s="76" t="inlineStr">
        <is>
          <t>🏊</t>
        </is>
      </c>
      <c r="C93" s="76" t="inlineStr">
        <is>
          <t>Swimmer</t>
        </is>
      </c>
      <c r="D93" s="76" t="inlineStr">
        <is>
          <t>number</t>
        </is>
      </c>
      <c r="E93" s="76" t="inlineStr">
        <is>
          <t>select</t>
        </is>
      </c>
      <c r="F93" s="76" t="n">
        <v>1</v>
      </c>
      <c r="G93" s="83" t="inlineStr">
        <is>
          <t>Fixed: costs 1 whatever its number</t>
        </is>
      </c>
      <c r="H93" s="84" t="n"/>
      <c r="I93" s="83" t="n"/>
      <c r="J93" s="76" t="n">
        <v>0</v>
      </c>
    </row>
    <row r="94">
      <c r="A94" s="76" t="inlineStr">
        <is>
          <t>swimmerGrant</t>
        </is>
      </c>
      <c r="B94" s="76" t="inlineStr"/>
      <c r="C94" s="76" t="inlineStr">
        <is>
          <t>Swimmer Skills</t>
        </is>
      </c>
      <c r="D94" s="76" t="inlineStr">
        <is>
          <t>number</t>
        </is>
      </c>
      <c r="E94" s="76" t="inlineStr">
        <is>
          <t>text</t>
        </is>
      </c>
      <c r="F94" s="76" t="inlineStr">
        <is>
          <t>— (default rule)</t>
        </is>
      </c>
      <c r="G94" s="83" t="inlineStr">
        <is>
          <t>Not in the table: costs 1, plus half its number (rounded down) when over 1</t>
        </is>
      </c>
      <c r="H94" s="84" t="n"/>
      <c r="I94" s="83" t="n"/>
      <c r="J94" s="76" t="n">
        <v>0</v>
      </c>
    </row>
    <row r="95">
      <c r="A95" s="76" t="inlineStr">
        <is>
          <t>inspiring</t>
        </is>
      </c>
      <c r="B95" s="76" t="inlineStr">
        <is>
          <t>📯</t>
        </is>
      </c>
      <c r="C95" s="76" t="inlineStr">
        <is>
          <t>Inspiring</t>
        </is>
      </c>
      <c r="D95" s="76" t="inlineStr">
        <is>
          <t>number</t>
        </is>
      </c>
      <c r="E95" s="76" t="inlineStr">
        <is>
          <t>number</t>
        </is>
      </c>
      <c r="F95" s="76" t="inlineStr">
        <is>
          <t>— (default rule)</t>
        </is>
      </c>
      <c r="G95" s="83" t="inlineStr">
        <is>
          <t>Not in the table: costs 1, plus half its number (rounded down) when over 1</t>
        </is>
      </c>
      <c r="H95" s="84" t="n"/>
      <c r="I95" s="83" t="n"/>
      <c r="J95" s="76" t="n">
        <v>9</v>
      </c>
    </row>
    <row r="96">
      <c r="A96" s="76" t="inlineStr">
        <is>
          <t>friction</t>
        </is>
      </c>
      <c r="B96" s="76" t="inlineStr">
        <is>
          <t>⚙️</t>
        </is>
      </c>
      <c r="C96" s="76" t="inlineStr">
        <is>
          <t>Friction</t>
        </is>
      </c>
      <c r="D96" s="76" t="inlineStr">
        <is>
          <t>number</t>
        </is>
      </c>
      <c r="E96" s="76" t="inlineStr">
        <is>
          <t>number</t>
        </is>
      </c>
      <c r="F96" s="76" t="inlineStr">
        <is>
          <t>— (default rule)</t>
        </is>
      </c>
      <c r="G96" s="83" t="inlineStr">
        <is>
          <t>Not in the table: costs 1, plus half its number (rounded down) when over 1</t>
        </is>
      </c>
      <c r="H96" s="84" t="n"/>
      <c r="I96" s="83" t="n"/>
      <c r="J96" s="76" t="n">
        <v>1</v>
      </c>
    </row>
    <row r="97">
      <c r="A97" s="76" t="inlineStr">
        <is>
          <t>worthy</t>
        </is>
      </c>
      <c r="B97" s="76" t="inlineStr"/>
      <c r="C97" s="76" t="inlineStr">
        <is>
          <t>worthy</t>
        </is>
      </c>
      <c r="D97" s="76" t="inlineStr">
        <is>
          <t>number</t>
        </is>
      </c>
      <c r="E97" s="76" t="inlineStr">
        <is>
          <t>number</t>
        </is>
      </c>
      <c r="F97" s="76" t="inlineStr">
        <is>
          <t>— (default rule)</t>
        </is>
      </c>
      <c r="G97" s="83" t="inlineStr">
        <is>
          <t>Not in the table: costs 1, plus half its number (rounded down) when over 1</t>
        </is>
      </c>
      <c r="H97" s="84" t="n"/>
      <c r="I97" s="83" t="n"/>
      <c r="J97" s="76" t="n">
        <v>0</v>
      </c>
    </row>
    <row r="98">
      <c r="A98" s="76" t="inlineStr">
        <is>
          <t>nursing</t>
        </is>
      </c>
      <c r="B98" s="76" t="inlineStr">
        <is>
          <t>🍼</t>
        </is>
      </c>
      <c r="C98" s="76" t="inlineStr">
        <is>
          <t>Nursing</t>
        </is>
      </c>
      <c r="D98" s="76" t="inlineStr">
        <is>
          <t>number</t>
        </is>
      </c>
      <c r="E98" s="76" t="inlineStr">
        <is>
          <t>number</t>
        </is>
      </c>
      <c r="F98" s="76" t="inlineStr">
        <is>
          <t>— (default rule)</t>
        </is>
      </c>
      <c r="G98" s="83" t="inlineStr">
        <is>
          <t>Not in the table: costs 1, plus half its number (rounded down) when over 1</t>
        </is>
      </c>
      <c r="H98" s="84" t="n"/>
      <c r="I98" s="83" t="n"/>
      <c r="J98" s="76" t="n">
        <v>1</v>
      </c>
    </row>
    <row r="99">
      <c r="A99" s="76" t="inlineStr">
        <is>
          <t>lumberjack</t>
        </is>
      </c>
      <c r="B99" s="76" t="inlineStr">
        <is>
          <t>🪓</t>
        </is>
      </c>
      <c r="C99" s="76" t="inlineStr">
        <is>
          <t>Lumberjack</t>
        </is>
      </c>
      <c r="D99" s="76" t="inlineStr">
        <is>
          <t>flag</t>
        </is>
      </c>
      <c r="E99" s="76" t="inlineStr">
        <is>
          <t>boolean</t>
        </is>
      </c>
      <c r="F99" s="76" t="inlineStr">
        <is>
          <t>— (default rule)</t>
        </is>
      </c>
      <c r="G99" s="83" t="inlineStr">
        <is>
          <t>Not in the table: costs 1</t>
        </is>
      </c>
      <c r="H99" s="84" t="n"/>
      <c r="I99" s="83" t="n"/>
      <c r="J99" s="76" t="n">
        <v>1</v>
      </c>
    </row>
    <row r="100">
      <c r="A100" s="76" t="inlineStr">
        <is>
          <t>heavyMetal</t>
        </is>
      </c>
      <c r="B100" s="76" t="inlineStr">
        <is>
          <t>🤘</t>
        </is>
      </c>
      <c r="C100" s="76" t="inlineStr">
        <is>
          <t>Heavy Metal</t>
        </is>
      </c>
      <c r="D100" s="76" t="inlineStr">
        <is>
          <t>flag</t>
        </is>
      </c>
      <c r="E100" s="76" t="inlineStr">
        <is>
          <t>boolean</t>
        </is>
      </c>
      <c r="F100" s="76" t="inlineStr">
        <is>
          <t>— (default rule)</t>
        </is>
      </c>
      <c r="G100" s="83" t="inlineStr">
        <is>
          <t>Not in the table: costs 1</t>
        </is>
      </c>
      <c r="H100" s="84" t="n"/>
      <c r="I100" s="83" t="n"/>
      <c r="J100" s="76" t="n">
        <v>1</v>
      </c>
    </row>
    <row r="101">
      <c r="A101" s="76" t="inlineStr">
        <is>
          <t>timber</t>
        </is>
      </c>
      <c r="B101" s="76" t="inlineStr">
        <is>
          <t>🌲</t>
        </is>
      </c>
      <c r="C101" s="76" t="inlineStr">
        <is>
          <t>Timber</t>
        </is>
      </c>
      <c r="D101" s="76" t="inlineStr">
        <is>
          <t>flag</t>
        </is>
      </c>
      <c r="E101" s="76" t="inlineStr">
        <is>
          <t>boolean</t>
        </is>
      </c>
      <c r="F101" s="76" t="inlineStr">
        <is>
          <t>— (default rule)</t>
        </is>
      </c>
      <c r="G101" s="83" t="inlineStr">
        <is>
          <t>Not in the table: costs 1</t>
        </is>
      </c>
      <c r="H101" s="84" t="n"/>
      <c r="I101" s="83" t="n"/>
      <c r="J101" s="76" t="n">
        <v>1</v>
      </c>
    </row>
    <row r="102">
      <c r="A102" s="76" t="inlineStr">
        <is>
          <t>rockSolid</t>
        </is>
      </c>
      <c r="B102" s="76" t="inlineStr">
        <is>
          <t>🪨</t>
        </is>
      </c>
      <c r="C102" s="76" t="inlineStr">
        <is>
          <t>Rock-solid</t>
        </is>
      </c>
      <c r="D102" s="76" t="inlineStr">
        <is>
          <t>flag</t>
        </is>
      </c>
      <c r="E102" s="76" t="inlineStr">
        <is>
          <t>boolean</t>
        </is>
      </c>
      <c r="F102" s="76" t="inlineStr">
        <is>
          <t>— (default rule)</t>
        </is>
      </c>
      <c r="G102" s="83" t="inlineStr">
        <is>
          <t>Not in the table: costs 1</t>
        </is>
      </c>
      <c r="H102" s="84" t="n"/>
      <c r="I102" s="83" t="n"/>
      <c r="J102" s="76" t="n">
        <v>1</v>
      </c>
    </row>
    <row r="103">
      <c r="A103" s="76" t="inlineStr">
        <is>
          <t>ironWill</t>
        </is>
      </c>
      <c r="B103" s="76" t="inlineStr">
        <is>
          <t>🔩</t>
        </is>
      </c>
      <c r="C103" s="76" t="inlineStr">
        <is>
          <t>Iron-will</t>
        </is>
      </c>
      <c r="D103" s="76" t="inlineStr">
        <is>
          <t>flag</t>
        </is>
      </c>
      <c r="E103" s="76" t="inlineStr">
        <is>
          <t>boolean</t>
        </is>
      </c>
      <c r="F103" s="76" t="inlineStr">
        <is>
          <t>— (default rule)</t>
        </is>
      </c>
      <c r="G103" s="83" t="inlineStr">
        <is>
          <t>Not in the table: costs 1</t>
        </is>
      </c>
      <c r="H103" s="84" t="n"/>
      <c r="I103" s="83" t="n"/>
      <c r="J103" s="76" t="n">
        <v>1</v>
      </c>
    </row>
    <row r="104">
      <c r="A104" s="76" t="inlineStr">
        <is>
          <t>loyal</t>
        </is>
      </c>
      <c r="B104" s="76" t="inlineStr">
        <is>
          <t>🎖️</t>
        </is>
      </c>
      <c r="C104" s="76" t="inlineStr">
        <is>
          <t>Loyal</t>
        </is>
      </c>
      <c r="D104" s="76" t="inlineStr">
        <is>
          <t>number</t>
        </is>
      </c>
      <c r="E104" s="76" t="inlineStr">
        <is>
          <t>twoNumber</t>
        </is>
      </c>
      <c r="F104" s="76" t="inlineStr">
        <is>
          <t>— (default rule)</t>
        </is>
      </c>
      <c r="G104" s="83" t="inlineStr">
        <is>
          <t>Not in the table: costs 1, plus half its number (rounded down) when over 1</t>
        </is>
      </c>
      <c r="H104" s="84" t="n"/>
      <c r="I104" s="83" t="n"/>
      <c r="J104" s="76" t="n">
        <v>1</v>
      </c>
    </row>
    <row r="105">
      <c r="A105" s="76" t="inlineStr">
        <is>
          <t>usurper</t>
        </is>
      </c>
      <c r="B105" s="76" t="inlineStr">
        <is>
          <t>🗡️👑</t>
        </is>
      </c>
      <c r="C105" s="76" t="inlineStr">
        <is>
          <t>Usurper</t>
        </is>
      </c>
      <c r="D105" s="76" t="inlineStr">
        <is>
          <t>number</t>
        </is>
      </c>
      <c r="E105" s="76" t="inlineStr">
        <is>
          <t>twoNumber</t>
        </is>
      </c>
      <c r="F105" s="76" t="inlineStr">
        <is>
          <t>— (default rule)</t>
        </is>
      </c>
      <c r="G105" s="83" t="inlineStr">
        <is>
          <t>Not in the table: costs 1, plus half its number (rounded down) when over 1</t>
        </is>
      </c>
      <c r="H105" s="84" t="n"/>
      <c r="I105" s="83" t="n"/>
      <c r="J105" s="76" t="n">
        <v>1</v>
      </c>
    </row>
    <row r="106">
      <c r="A106" s="76" t="inlineStr">
        <is>
          <t>sacrifice</t>
        </is>
      </c>
      <c r="B106" s="76" t="inlineStr"/>
      <c r="C106" s="76" t="inlineStr">
        <is>
          <t>Sacrifice</t>
        </is>
      </c>
      <c r="D106" s="76" t="inlineStr">
        <is>
          <t>number</t>
        </is>
      </c>
      <c r="E106" s="76" t="inlineStr">
        <is>
          <t>number</t>
        </is>
      </c>
      <c r="F106" s="76" t="inlineStr">
        <is>
          <t>— (default rule)</t>
        </is>
      </c>
      <c r="G106" s="83" t="inlineStr">
        <is>
          <t>Not in the table: costs 1, plus half its number (rounded down) when over 1</t>
        </is>
      </c>
      <c r="H106" s="84" t="n"/>
      <c r="I106" s="83" t="n"/>
      <c r="J106" s="76" t="n">
        <v>2</v>
      </c>
    </row>
    <row r="107">
      <c r="A107" s="76" t="inlineStr">
        <is>
          <t>scare</t>
        </is>
      </c>
      <c r="B107" s="76" t="inlineStr">
        <is>
          <t>👻</t>
        </is>
      </c>
      <c r="C107" s="76" t="inlineStr">
        <is>
          <t>Scare</t>
        </is>
      </c>
      <c r="D107" s="76" t="inlineStr">
        <is>
          <t>number</t>
        </is>
      </c>
      <c r="E107" s="76" t="inlineStr">
        <is>
          <t>number</t>
        </is>
      </c>
      <c r="F107" s="76" t="inlineStr">
        <is>
          <t>— (default rule)</t>
        </is>
      </c>
      <c r="G107" s="83" t="inlineStr">
        <is>
          <t>Not in the table: costs 1, plus half its number (rounded down) when over 1</t>
        </is>
      </c>
      <c r="H107" s="84" t="n"/>
      <c r="I107" s="83" t="n"/>
      <c r="J107" s="76" t="n">
        <v>4</v>
      </c>
    </row>
    <row r="108">
      <c r="A108" s="76" t="inlineStr">
        <is>
          <t>prayer</t>
        </is>
      </c>
      <c r="B108" s="76" t="inlineStr"/>
      <c r="C108" s="76" t="inlineStr">
        <is>
          <t>Prayer</t>
        </is>
      </c>
      <c r="D108" s="76" t="inlineStr">
        <is>
          <t>number</t>
        </is>
      </c>
      <c r="E108" s="76" t="inlineStr">
        <is>
          <t>number</t>
        </is>
      </c>
      <c r="F108" s="76" t="inlineStr">
        <is>
          <t>— (default rule)</t>
        </is>
      </c>
      <c r="G108" s="83" t="inlineStr">
        <is>
          <t>Not in the table: costs 1, plus half its number (rounded down) when over 1</t>
        </is>
      </c>
      <c r="H108" s="84" t="n"/>
      <c r="I108" s="83" t="n"/>
      <c r="J108" s="76" t="n">
        <v>7</v>
      </c>
    </row>
    <row r="109">
      <c r="A109" s="76" t="inlineStr">
        <is>
          <t>worship</t>
        </is>
      </c>
      <c r="B109" s="76" t="inlineStr">
        <is>
          <t>🙏</t>
        </is>
      </c>
      <c r="C109" s="76" t="inlineStr">
        <is>
          <t>Worship</t>
        </is>
      </c>
      <c r="D109" s="76" t="inlineStr">
        <is>
          <t>flag</t>
        </is>
      </c>
      <c r="E109" s="76" t="inlineStr">
        <is>
          <t>boolean</t>
        </is>
      </c>
      <c r="F109" s="76" t="inlineStr">
        <is>
          <t>— (default rule)</t>
        </is>
      </c>
      <c r="G109" s="83" t="inlineStr">
        <is>
          <t>Not in the table: costs 1</t>
        </is>
      </c>
      <c r="H109" s="84" t="n"/>
      <c r="I109" s="83" t="n"/>
      <c r="J109" s="76" t="n">
        <v>2</v>
      </c>
    </row>
    <row r="110">
      <c r="A110" s="76" t="inlineStr">
        <is>
          <t>healing</t>
        </is>
      </c>
      <c r="B110" s="76" t="inlineStr">
        <is>
          <t>💚</t>
        </is>
      </c>
      <c r="C110" s="76" t="inlineStr">
        <is>
          <t>Healing</t>
        </is>
      </c>
      <c r="D110" s="76" t="inlineStr">
        <is>
          <t>number</t>
        </is>
      </c>
      <c r="E110" s="76" t="inlineStr">
        <is>
          <t>number</t>
        </is>
      </c>
      <c r="F110" s="76" t="inlineStr">
        <is>
          <t>— (default rule)</t>
        </is>
      </c>
      <c r="G110" s="83" t="inlineStr">
        <is>
          <t>Not in the table: costs 1, plus half its number (rounded down) when over 1</t>
        </is>
      </c>
      <c r="H110" s="84" t="n"/>
      <c r="I110" s="83" t="n"/>
      <c r="J110" s="76" t="n">
        <v>2</v>
      </c>
    </row>
    <row r="111">
      <c r="A111" s="76" t="inlineStr">
        <is>
          <t>dynamite</t>
        </is>
      </c>
      <c r="B111" s="76" t="inlineStr">
        <is>
          <t>🧨</t>
        </is>
      </c>
      <c r="C111" s="76" t="inlineStr">
        <is>
          <t>Dynamite</t>
        </is>
      </c>
      <c r="D111" s="76" t="inlineStr">
        <is>
          <t>number</t>
        </is>
      </c>
      <c r="E111" s="76" t="inlineStr">
        <is>
          <t>twoNumber</t>
        </is>
      </c>
      <c r="F111" s="76" t="n">
        <v>0</v>
      </c>
      <c r="G111" s="83" t="inlineStr">
        <is>
          <t>Fixed: costs 0 whatever its number</t>
        </is>
      </c>
      <c r="H111" s="84" t="n"/>
      <c r="I111" s="83" t="n"/>
      <c r="J111" s="76" t="n">
        <v>1</v>
      </c>
    </row>
    <row r="112">
      <c r="A112" s="76" t="inlineStr">
        <is>
          <t>helmet</t>
        </is>
      </c>
      <c r="B112" s="76" t="inlineStr">
        <is>
          <t>🪖</t>
        </is>
      </c>
      <c r="C112" s="76" t="inlineStr">
        <is>
          <t>Helmet</t>
        </is>
      </c>
      <c r="D112" s="76" t="inlineStr">
        <is>
          <t>flag</t>
        </is>
      </c>
      <c r="E112" s="76" t="inlineStr">
        <is>
          <t>boolean</t>
        </is>
      </c>
      <c r="F112" s="76" t="n">
        <v>2</v>
      </c>
      <c r="G112" s="83" t="inlineStr">
        <is>
          <t>Fixed: costs 2</t>
        </is>
      </c>
      <c r="H112" s="84" t="n"/>
      <c r="I112" s="83" t="n"/>
      <c r="J112" s="76" t="n">
        <v>2</v>
      </c>
    </row>
    <row r="113">
      <c r="A113" s="76" t="inlineStr">
        <is>
          <t>molting</t>
        </is>
      </c>
      <c r="B113" s="76" t="inlineStr">
        <is>
          <t>🦀</t>
        </is>
      </c>
      <c r="C113" s="76" t="inlineStr">
        <is>
          <t>Molting</t>
        </is>
      </c>
      <c r="D113" s="76" t="inlineStr">
        <is>
          <t>number</t>
        </is>
      </c>
      <c r="E113" s="76" t="inlineStr">
        <is>
          <t>number</t>
        </is>
      </c>
      <c r="F113" s="76" t="n">
        <v>1</v>
      </c>
      <c r="G113" s="83" t="inlineStr">
        <is>
          <t>Fixed: costs 1 whatever its number</t>
        </is>
      </c>
      <c r="H113" s="84" t="n"/>
      <c r="I113" s="83" t="n"/>
      <c r="J113" s="76" t="n">
        <v>3</v>
      </c>
    </row>
    <row r="114">
      <c r="A114" s="76" t="inlineStr">
        <is>
          <t>shedding</t>
        </is>
      </c>
      <c r="B114" s="76" t="inlineStr">
        <is>
          <t>🐍</t>
        </is>
      </c>
      <c r="C114" s="76" t="inlineStr">
        <is>
          <t>Shedding</t>
        </is>
      </c>
      <c r="D114" s="76" t="inlineStr">
        <is>
          <t>number</t>
        </is>
      </c>
      <c r="E114" s="76" t="inlineStr">
        <is>
          <t>number</t>
        </is>
      </c>
      <c r="F114" s="76" t="inlineStr">
        <is>
          <t>— (default rule)</t>
        </is>
      </c>
      <c r="G114" s="83" t="inlineStr">
        <is>
          <t>Not in the table: costs 1, plus half its number (rounded down) when over 1</t>
        </is>
      </c>
      <c r="H114" s="84" t="n"/>
      <c r="I114" s="83" t="n"/>
      <c r="J114" s="76" t="n">
        <v>2</v>
      </c>
    </row>
    <row r="115">
      <c r="A115" s="76" t="inlineStr">
        <is>
          <t>bludgeon</t>
        </is>
      </c>
      <c r="B115" s="76" t="inlineStr">
        <is>
          <t>🔨</t>
        </is>
      </c>
      <c r="C115" s="76" t="inlineStr">
        <is>
          <t>Bludgeon</t>
        </is>
      </c>
      <c r="D115" s="76" t="inlineStr">
        <is>
          <t>flag</t>
        </is>
      </c>
      <c r="E115" s="76" t="inlineStr">
        <is>
          <t>boolean</t>
        </is>
      </c>
      <c r="F115" s="76" t="inlineStr">
        <is>
          <t>— (default rule)</t>
        </is>
      </c>
      <c r="G115" s="83" t="inlineStr">
        <is>
          <t>Not in the table: costs 1</t>
        </is>
      </c>
      <c r="H115" s="84" t="n"/>
      <c r="I115" s="83" t="n"/>
      <c r="J115" s="76" t="n">
        <v>1</v>
      </c>
    </row>
    <row r="116">
      <c r="A116" s="76" t="inlineStr">
        <is>
          <t>snipe</t>
        </is>
      </c>
      <c r="B116" s="76" t="inlineStr">
        <is>
          <t>🎯</t>
        </is>
      </c>
      <c r="C116" s="76" t="inlineStr">
        <is>
          <t>Snipe</t>
        </is>
      </c>
      <c r="D116" s="76" t="inlineStr">
        <is>
          <t>trigger</t>
        </is>
      </c>
      <c r="E116" s="76" t="inlineStr">
        <is>
          <t>number</t>
        </is>
      </c>
      <c r="F116" s="76" t="inlineStr">
        <is>
          <t>v</t>
        </is>
      </c>
      <c r="G116" s="83" t="inlineStr">
        <is>
          <t>By its number: Snipe 2 costs 2 (at least 1; two-number values add up)</t>
        </is>
      </c>
      <c r="H116" s="84" t="n"/>
      <c r="I116" s="83" t="n"/>
      <c r="J116" s="76" t="n">
        <v>1</v>
      </c>
    </row>
    <row r="117">
      <c r="A117" s="76" t="inlineStr">
        <is>
          <t>kinship</t>
        </is>
      </c>
      <c r="B117" s="76" t="inlineStr">
        <is>
          <t>🫶</t>
        </is>
      </c>
      <c r="C117" s="76" t="inlineStr">
        <is>
          <t>Kinship</t>
        </is>
      </c>
      <c r="D117" s="76" t="inlineStr">
        <is>
          <t>number</t>
        </is>
      </c>
      <c r="E117" s="76" t="inlineStr">
        <is>
          <t>typeTwoNumber</t>
        </is>
      </c>
      <c r="F117" s="76" t="inlineStr">
        <is>
          <t>— (default rule)</t>
        </is>
      </c>
      <c r="G117" s="83" t="inlineStr">
        <is>
          <t>Not in the table: costs 1, plus half its number (rounded down) when over 1</t>
        </is>
      </c>
      <c r="H117" s="84" t="n"/>
      <c r="I117" s="83" t="n"/>
      <c r="J117" s="76" t="n">
        <v>2</v>
      </c>
    </row>
    <row r="118">
      <c r="A118" s="76" t="inlineStr">
        <is>
          <t>rocket</t>
        </is>
      </c>
      <c r="B118" s="76" t="inlineStr">
        <is>
          <t>🚀</t>
        </is>
      </c>
      <c r="C118" s="76" t="inlineStr">
        <is>
          <t>Rocket</t>
        </is>
      </c>
      <c r="D118" s="76" t="inlineStr">
        <is>
          <t>trigger</t>
        </is>
      </c>
      <c r="E118" s="76" t="inlineStr">
        <is>
          <t>number</t>
        </is>
      </c>
      <c r="F118" s="76" t="inlineStr">
        <is>
          <t>— (default rule)</t>
        </is>
      </c>
      <c r="G118" s="83" t="inlineStr">
        <is>
          <t>Not in the table: costs 1, plus half its number (rounded down) when over 1</t>
        </is>
      </c>
      <c r="H118" s="84" t="n"/>
      <c r="I118" s="83" t="n"/>
      <c r="J118" s="76" t="n">
        <v>1</v>
      </c>
    </row>
    <row r="119">
      <c r="A119" s="76" t="inlineStr">
        <is>
          <t>loneWolf</t>
        </is>
      </c>
      <c r="B119" s="76" t="inlineStr">
        <is>
          <t>🐺</t>
        </is>
      </c>
      <c r="C119" s="76" t="inlineStr">
        <is>
          <t>Lone Wolf</t>
        </is>
      </c>
      <c r="D119" s="76" t="inlineStr">
        <is>
          <t>number</t>
        </is>
      </c>
      <c r="E119" s="76" t="inlineStr">
        <is>
          <t>twoNumber</t>
        </is>
      </c>
      <c r="F119" s="76" t="inlineStr">
        <is>
          <t>— (default rule)</t>
        </is>
      </c>
      <c r="G119" s="83" t="inlineStr">
        <is>
          <t>Not in the table: costs 1, plus half its number (rounded down) when over 1</t>
        </is>
      </c>
      <c r="H119" s="84" t="n"/>
      <c r="I119" s="83" t="n"/>
      <c r="J119" s="76" t="n">
        <v>1</v>
      </c>
    </row>
    <row r="120">
      <c r="A120" s="76" t="inlineStr">
        <is>
          <t>sociable</t>
        </is>
      </c>
      <c r="B120" s="76" t="inlineStr">
        <is>
          <t>🫂</t>
        </is>
      </c>
      <c r="C120" s="76" t="inlineStr">
        <is>
          <t>Sociable</t>
        </is>
      </c>
      <c r="D120" s="76" t="inlineStr">
        <is>
          <t>number</t>
        </is>
      </c>
      <c r="E120" s="76" t="inlineStr">
        <is>
          <t>twoNumber</t>
        </is>
      </c>
      <c r="F120" s="76" t="inlineStr">
        <is>
          <t>— (default rule)</t>
        </is>
      </c>
      <c r="G120" s="83" t="inlineStr">
        <is>
          <t>Not in the table: costs 1, plus half its number (rounded down) when over 1</t>
        </is>
      </c>
      <c r="H120" s="84" t="n"/>
      <c r="I120" s="83" t="n"/>
      <c r="J120" s="76" t="n">
        <v>1</v>
      </c>
    </row>
    <row r="121">
      <c r="A121" s="76" t="inlineStr">
        <is>
          <t>coffee</t>
        </is>
      </c>
      <c r="B121" s="76" t="inlineStr">
        <is>
          <t>☕</t>
        </is>
      </c>
      <c r="C121" s="76" t="inlineStr">
        <is>
          <t>Coffee</t>
        </is>
      </c>
      <c r="D121" s="76" t="inlineStr">
        <is>
          <t>number</t>
        </is>
      </c>
      <c r="E121" s="76" t="inlineStr">
        <is>
          <t>number</t>
        </is>
      </c>
      <c r="F121" s="76" t="inlineStr">
        <is>
          <t>— (default rule)</t>
        </is>
      </c>
      <c r="G121" s="83" t="inlineStr">
        <is>
          <t>Not in the table: costs 1, plus half its number (rounded down) when over 1</t>
        </is>
      </c>
      <c r="H121" s="84" t="n"/>
      <c r="I121" s="83" t="n"/>
      <c r="J121" s="76" t="n">
        <v>2</v>
      </c>
    </row>
    <row r="122">
      <c r="A122" s="76" t="inlineStr">
        <is>
          <t>dry</t>
        </is>
      </c>
      <c r="B122" s="76" t="inlineStr">
        <is>
          <t>🏜️</t>
        </is>
      </c>
      <c r="C122" s="76" t="inlineStr">
        <is>
          <t>Dry</t>
        </is>
      </c>
      <c r="D122" s="76" t="inlineStr">
        <is>
          <t>flag</t>
        </is>
      </c>
      <c r="E122" s="76" t="inlineStr">
        <is>
          <t>boolean</t>
        </is>
      </c>
      <c r="F122" s="76" t="inlineStr">
        <is>
          <t>— (default rule)</t>
        </is>
      </c>
      <c r="G122" s="83" t="inlineStr">
        <is>
          <t>Not in the table: costs 1</t>
        </is>
      </c>
      <c r="H122" s="84" t="n"/>
      <c r="I122" s="83" t="n"/>
      <c r="J122" s="76" t="n">
        <v>13</v>
      </c>
    </row>
    <row r="123">
      <c r="A123" s="76" t="inlineStr">
        <is>
          <t>darksight</t>
        </is>
      </c>
      <c r="B123" s="76" t="inlineStr">
        <is>
          <t>👁️</t>
        </is>
      </c>
      <c r="C123" s="76" t="inlineStr">
        <is>
          <t>Darksight</t>
        </is>
      </c>
      <c r="D123" s="76" t="inlineStr">
        <is>
          <t>flag</t>
        </is>
      </c>
      <c r="E123" s="76" t="inlineStr">
        <is>
          <t>boolean</t>
        </is>
      </c>
      <c r="F123" s="76" t="n">
        <v>1</v>
      </c>
      <c r="G123" s="83" t="inlineStr">
        <is>
          <t>Fixed: costs 1</t>
        </is>
      </c>
      <c r="H123" s="84" t="n"/>
      <c r="I123" s="83" t="n"/>
      <c r="J123" s="76" t="n">
        <v>15</v>
      </c>
    </row>
    <row r="124">
      <c r="A124" s="76" t="inlineStr">
        <is>
          <t>landslide</t>
        </is>
      </c>
      <c r="B124" s="76" t="inlineStr">
        <is>
          <t>🪨</t>
        </is>
      </c>
      <c r="C124" s="76" t="inlineStr">
        <is>
          <t>Landslide</t>
        </is>
      </c>
      <c r="D124" s="76" t="inlineStr">
        <is>
          <t>trigger</t>
        </is>
      </c>
      <c r="E124" s="76" t="inlineStr">
        <is>
          <t>number</t>
        </is>
      </c>
      <c r="F124" s="76" t="inlineStr">
        <is>
          <t>— (default rule)</t>
        </is>
      </c>
      <c r="G124" s="83" t="inlineStr">
        <is>
          <t>Not in the table: costs 1, plus half its number (rounded down) when over 1</t>
        </is>
      </c>
      <c r="H124" s="84" t="n"/>
      <c r="I124" s="83" t="n"/>
      <c r="J124" s="76" t="n">
        <v>1</v>
      </c>
    </row>
    <row r="125">
      <c r="A125" s="76" t="inlineStr">
        <is>
          <t>natureForce</t>
        </is>
      </c>
      <c r="B125" s="76" t="inlineStr">
        <is>
          <t>🌪️</t>
        </is>
      </c>
      <c r="C125" s="76" t="inlineStr">
        <is>
          <t>Nature's Force</t>
        </is>
      </c>
      <c r="D125" s="76" t="inlineStr">
        <is>
          <t>number</t>
        </is>
      </c>
      <c r="E125" s="76" t="inlineStr">
        <is>
          <t>number</t>
        </is>
      </c>
      <c r="F125" s="76" t="inlineStr">
        <is>
          <t>— (default rule)</t>
        </is>
      </c>
      <c r="G125" s="83" t="inlineStr">
        <is>
          <t>Not in the table: costs 1, plus half its number (rounded down) when over 1</t>
        </is>
      </c>
      <c r="H125" s="84" t="n"/>
      <c r="I125" s="83" t="n"/>
      <c r="J125" s="76" t="n">
        <v>1</v>
      </c>
    </row>
    <row r="126">
      <c r="A126" s="76" t="inlineStr">
        <is>
          <t>lightning</t>
        </is>
      </c>
      <c r="B126" s="76" t="inlineStr">
        <is>
          <t>⚡</t>
        </is>
      </c>
      <c r="C126" s="76" t="inlineStr">
        <is>
          <t>Lightning</t>
        </is>
      </c>
      <c r="D126" s="76" t="inlineStr">
        <is>
          <t>number</t>
        </is>
      </c>
      <c r="E126" s="76" t="inlineStr">
        <is>
          <t>number</t>
        </is>
      </c>
      <c r="F126" s="76" t="inlineStr">
        <is>
          <t>— (default rule)</t>
        </is>
      </c>
      <c r="G126" s="83" t="inlineStr">
        <is>
          <t>Not in the table: costs 1, plus half its number (rounded down) when over 1</t>
        </is>
      </c>
      <c r="H126" s="84" t="n"/>
      <c r="I126" s="83" t="n"/>
      <c r="J126" s="76" t="n">
        <v>2</v>
      </c>
    </row>
    <row r="127">
      <c r="A127" s="76" t="inlineStr">
        <is>
          <t>midas</t>
        </is>
      </c>
      <c r="B127" s="76" t="inlineStr">
        <is>
          <t>🪙</t>
        </is>
      </c>
      <c r="C127" s="76" t="inlineStr">
        <is>
          <t>Midas Touch</t>
        </is>
      </c>
      <c r="D127" s="76" t="inlineStr">
        <is>
          <t>number</t>
        </is>
      </c>
      <c r="E127" s="76" t="inlineStr">
        <is>
          <t>number</t>
        </is>
      </c>
      <c r="F127" s="76" t="inlineStr">
        <is>
          <t>— (default rule)</t>
        </is>
      </c>
      <c r="G127" s="83" t="inlineStr">
        <is>
          <t>Not in the table: costs 1, plus half its number (rounded down) when over 1</t>
        </is>
      </c>
      <c r="H127" s="84" t="n"/>
      <c r="I127" s="83" t="n"/>
      <c r="J127" s="76" t="n">
        <v>2</v>
      </c>
    </row>
    <row r="128">
      <c r="A128" s="76" t="inlineStr">
        <is>
          <t>retribution</t>
        </is>
      </c>
      <c r="B128" s="76" t="inlineStr">
        <is>
          <t>⚖️</t>
        </is>
      </c>
      <c r="C128" s="76" t="inlineStr">
        <is>
          <t>Retribution</t>
        </is>
      </c>
      <c r="D128" s="76" t="inlineStr">
        <is>
          <t>number</t>
        </is>
      </c>
      <c r="E128" s="76" t="inlineStr">
        <is>
          <t>number</t>
        </is>
      </c>
      <c r="F128" s="76" t="inlineStr">
        <is>
          <t>— (default rule)</t>
        </is>
      </c>
      <c r="G128" s="83" t="inlineStr">
        <is>
          <t>Not in the table: costs 1, plus half its number (rounded down) when over 1</t>
        </is>
      </c>
      <c r="H128" s="84" t="n"/>
      <c r="I128" s="83" t="n"/>
      <c r="J128" s="76" t="n">
        <v>1</v>
      </c>
    </row>
    <row r="129">
      <c r="A129" s="76" t="inlineStr">
        <is>
          <t>satiety</t>
        </is>
      </c>
      <c r="B129" s="76" t="inlineStr">
        <is>
          <t>🍯</t>
        </is>
      </c>
      <c r="C129" s="76" t="inlineStr">
        <is>
          <t>Well Fed</t>
        </is>
      </c>
      <c r="D129" s="76" t="inlineStr">
        <is>
          <t>number</t>
        </is>
      </c>
      <c r="E129" s="76" t="inlineStr">
        <is>
          <t>number</t>
        </is>
      </c>
      <c r="F129" s="76" t="inlineStr">
        <is>
          <t>— (default rule)</t>
        </is>
      </c>
      <c r="G129" s="83" t="inlineStr">
        <is>
          <t>Not in the table: costs 1, plus half its number (rounded down) when over 1</t>
        </is>
      </c>
      <c r="H129" s="84" t="n"/>
      <c r="I129" s="83" t="n"/>
      <c r="J129" s="76" t="n">
        <v>1</v>
      </c>
    </row>
    <row r="130">
      <c r="A130" s="76" t="inlineStr">
        <is>
          <t>desecrate</t>
        </is>
      </c>
      <c r="B130" s="76" t="inlineStr"/>
      <c r="C130" s="76" t="inlineStr">
        <is>
          <t>Desecrate</t>
        </is>
      </c>
      <c r="D130" s="76" t="inlineStr">
        <is>
          <t>number</t>
        </is>
      </c>
      <c r="E130" s="76" t="inlineStr">
        <is>
          <t>number</t>
        </is>
      </c>
      <c r="F130" s="76" t="inlineStr">
        <is>
          <t>— (default rule)</t>
        </is>
      </c>
      <c r="G130" s="83" t="inlineStr">
        <is>
          <t>Not in the table: costs 1, plus half its number (rounded down) when over 1</t>
        </is>
      </c>
      <c r="H130" s="84" t="n"/>
      <c r="I130" s="83" t="n"/>
      <c r="J130" s="76" t="n">
        <v>1</v>
      </c>
    </row>
    <row r="131">
      <c r="A131" s="76" t="inlineStr">
        <is>
          <t>tide</t>
        </is>
      </c>
      <c r="B131" s="76" t="inlineStr">
        <is>
          <t>🌊</t>
        </is>
      </c>
      <c r="C131" s="76" t="inlineStr">
        <is>
          <t>Tide</t>
        </is>
      </c>
      <c r="D131" s="76" t="inlineStr">
        <is>
          <t>flag</t>
        </is>
      </c>
      <c r="E131" s="76" t="inlineStr">
        <is>
          <t>boolean</t>
        </is>
      </c>
      <c r="F131" s="76" t="n">
        <v>1</v>
      </c>
      <c r="G131" s="83" t="inlineStr">
        <is>
          <t>Fixed: costs 1</t>
        </is>
      </c>
      <c r="H131" s="84" t="n"/>
      <c r="I131" s="83" t="n"/>
      <c r="J131" s="76" t="n">
        <v>60</v>
      </c>
    </row>
    <row r="132">
      <c r="A132" s="76" t="inlineStr">
        <is>
          <t>remember</t>
        </is>
      </c>
      <c r="B132" s="76" t="inlineStr">
        <is>
          <t>🕯️</t>
        </is>
      </c>
      <c r="C132" s="76" t="inlineStr">
        <is>
          <t>Remember</t>
        </is>
      </c>
      <c r="D132" s="76" t="inlineStr">
        <is>
          <t>number</t>
        </is>
      </c>
      <c r="E132" s="76" t="inlineStr">
        <is>
          <t>number</t>
        </is>
      </c>
      <c r="F132" s="76" t="inlineStr">
        <is>
          <t>— (default rule)</t>
        </is>
      </c>
      <c r="G132" s="83" t="inlineStr">
        <is>
          <t>Not in the table: costs 1, plus half its number (rounded down) when over 1</t>
        </is>
      </c>
      <c r="H132" s="84" t="n"/>
      <c r="I132" s="83" t="n"/>
      <c r="J132" s="76" t="n">
        <v>4</v>
      </c>
    </row>
    <row r="133">
      <c r="A133" s="76" t="inlineStr">
        <is>
          <t>expose</t>
        </is>
      </c>
      <c r="B133" s="76" t="inlineStr">
        <is>
          <t>🎯</t>
        </is>
      </c>
      <c r="C133" s="76" t="inlineStr">
        <is>
          <t>Expose</t>
        </is>
      </c>
      <c r="D133" s="76" t="inlineStr">
        <is>
          <t>trigger</t>
        </is>
      </c>
      <c r="E133" s="76" t="inlineStr">
        <is>
          <t>number</t>
        </is>
      </c>
      <c r="F133" s="76" t="inlineStr">
        <is>
          <t>— (default rule)</t>
        </is>
      </c>
      <c r="G133" s="83" t="inlineStr">
        <is>
          <t>Not in the table: costs 1, plus half its number (rounded down) when over 1</t>
        </is>
      </c>
      <c r="H133" s="84" t="n"/>
      <c r="I133" s="83" t="n"/>
      <c r="J133" s="76" t="n">
        <v>3</v>
      </c>
    </row>
    <row r="134">
      <c r="A134" s="76" t="inlineStr">
        <is>
          <t>guardian</t>
        </is>
      </c>
      <c r="B134" s="76" t="inlineStr"/>
      <c r="C134" s="76" t="inlineStr">
        <is>
          <t>Guardian</t>
        </is>
      </c>
      <c r="D134" s="76" t="inlineStr">
        <is>
          <t>flag</t>
        </is>
      </c>
      <c r="E134" s="76" t="inlineStr">
        <is>
          <t>boolean</t>
        </is>
      </c>
      <c r="F134" s="76" t="inlineStr">
        <is>
          <t>— (default rule)</t>
        </is>
      </c>
      <c r="G134" s="83" t="inlineStr">
        <is>
          <t>Not in the table: costs 1</t>
        </is>
      </c>
      <c r="H134" s="84" t="n"/>
      <c r="I134" s="83" t="n"/>
      <c r="J134" s="76" t="n">
        <v>13</v>
      </c>
    </row>
    <row r="135">
      <c r="A135" s="76" t="inlineStr">
        <is>
          <t>quick</t>
        </is>
      </c>
      <c r="B135" s="76" t="inlineStr">
        <is>
          <t>👢</t>
        </is>
      </c>
      <c r="C135" s="76" t="inlineStr">
        <is>
          <t>Quick</t>
        </is>
      </c>
      <c r="D135" s="76" t="inlineStr">
        <is>
          <t>flag</t>
        </is>
      </c>
      <c r="E135" s="76" t="inlineStr">
        <is>
          <t>boolean</t>
        </is>
      </c>
      <c r="F135" s="76" t="n">
        <v>2</v>
      </c>
      <c r="G135" s="83" t="inlineStr">
        <is>
          <t>Fixed: costs 2</t>
        </is>
      </c>
      <c r="H135" s="84" t="n"/>
      <c r="I135" s="83" t="n"/>
      <c r="J135" s="76" t="n">
        <v>16</v>
      </c>
    </row>
    <row r="136">
      <c r="A136" s="76" t="inlineStr">
        <is>
          <t>fastForward</t>
        </is>
      </c>
      <c r="B136" s="76" t="inlineStr">
        <is>
          <t>⏩</t>
        </is>
      </c>
      <c r="C136" s="76" t="inlineStr">
        <is>
          <t>Fast Forward</t>
        </is>
      </c>
      <c r="D136" s="76" t="inlineStr">
        <is>
          <t>number</t>
        </is>
      </c>
      <c r="E136" s="76" t="inlineStr">
        <is>
          <t>number</t>
        </is>
      </c>
      <c r="F136" s="76" t="inlineStr">
        <is>
          <t>— (default rule)</t>
        </is>
      </c>
      <c r="G136" s="83" t="inlineStr">
        <is>
          <t>Not in the table: costs 1, plus half its number (rounded down) when over 1</t>
        </is>
      </c>
      <c r="H136" s="84" t="n"/>
      <c r="I136" s="83" t="n"/>
      <c r="J136" s="76" t="n">
        <v>1</v>
      </c>
    </row>
    <row r="137">
      <c r="A137" s="76" t="inlineStr">
        <is>
          <t>swift</t>
        </is>
      </c>
      <c r="B137" s="76" t="inlineStr">
        <is>
          <t>💨</t>
        </is>
      </c>
      <c r="C137" s="76" t="inlineStr">
        <is>
          <t>Swift</t>
        </is>
      </c>
      <c r="D137" s="76" t="inlineStr">
        <is>
          <t>flag</t>
        </is>
      </c>
      <c r="E137" s="76" t="inlineStr">
        <is>
          <t>boolean</t>
        </is>
      </c>
      <c r="F137" s="76" t="n">
        <v>0</v>
      </c>
      <c r="G137" s="83" t="inlineStr">
        <is>
          <t>Costs 0: instead the card's whole score is ×1.5 (attacks miss it, or by it, about half the time)</t>
        </is>
      </c>
      <c r="H137" s="84" t="n"/>
      <c r="I137" s="83" t="n"/>
      <c r="J137" s="76" t="n">
        <v>0</v>
      </c>
    </row>
    <row r="138">
      <c r="A138" s="76" t="inlineStr">
        <is>
          <t>reload</t>
        </is>
      </c>
      <c r="B138" s="76" t="inlineStr"/>
      <c r="C138" s="76" t="inlineStr">
        <is>
          <t>Reload</t>
        </is>
      </c>
      <c r="D138" s="76" t="inlineStr">
        <is>
          <t>trigger</t>
        </is>
      </c>
      <c r="E138" s="76" t="inlineStr">
        <is>
          <t>number</t>
        </is>
      </c>
      <c r="F138" s="76" t="inlineStr">
        <is>
          <t>— (default rule)</t>
        </is>
      </c>
      <c r="G138" s="83" t="inlineStr">
        <is>
          <t>Not in the table: costs 1, plus half its number (rounded down) when over 1</t>
        </is>
      </c>
      <c r="H138" s="84" t="n"/>
      <c r="I138" s="83" t="n"/>
      <c r="J138" s="76" t="n">
        <v>3</v>
      </c>
    </row>
    <row r="139">
      <c r="A139" s="76" t="inlineStr">
        <is>
          <t>shell</t>
        </is>
      </c>
      <c r="B139" s="76" t="inlineStr">
        <is>
          <t>🐢</t>
        </is>
      </c>
      <c r="C139" s="76" t="inlineStr">
        <is>
          <t>Shell</t>
        </is>
      </c>
      <c r="D139" s="76" t="inlineStr">
        <is>
          <t>number</t>
        </is>
      </c>
      <c r="E139" s="76" t="inlineStr">
        <is>
          <t>number</t>
        </is>
      </c>
      <c r="F139" s="76" t="inlineStr">
        <is>
          <t>— (default rule)</t>
        </is>
      </c>
      <c r="G139" s="83" t="inlineStr">
        <is>
          <t>Not in the table: costs 1, plus half its number (rounded down) when over 1</t>
        </is>
      </c>
      <c r="H139" s="84" t="n"/>
      <c r="I139" s="83" t="n"/>
      <c r="J139" s="76" t="n">
        <v>5</v>
      </c>
    </row>
    <row r="140">
      <c r="A140" s="76" t="inlineStr">
        <is>
          <t>stealth</t>
        </is>
      </c>
      <c r="B140" s="76" t="inlineStr"/>
      <c r="C140" s="76" t="inlineStr">
        <is>
          <t>Stealth</t>
        </is>
      </c>
      <c r="D140" s="76" t="inlineStr">
        <is>
          <t>flag</t>
        </is>
      </c>
      <c r="E140" s="76" t="inlineStr">
        <is>
          <t>boolean</t>
        </is>
      </c>
      <c r="F140" s="76" t="inlineStr">
        <is>
          <t>— (default rule)</t>
        </is>
      </c>
      <c r="G140" s="83" t="inlineStr">
        <is>
          <t>Not in the table: costs 1</t>
        </is>
      </c>
      <c r="H140" s="84" t="n"/>
      <c r="I140" s="83" t="n"/>
      <c r="J140" s="76" t="n">
        <v>7</v>
      </c>
    </row>
    <row r="141">
      <c r="A141" s="76" t="inlineStr">
        <is>
          <t>evasive</t>
        </is>
      </c>
      <c r="B141" s="76" t="inlineStr">
        <is>
          <t>🍃</t>
        </is>
      </c>
      <c r="C141" s="76" t="inlineStr">
        <is>
          <t>Evasive</t>
        </is>
      </c>
      <c r="D141" s="76" t="inlineStr">
        <is>
          <t>flag</t>
        </is>
      </c>
      <c r="E141" s="76" t="inlineStr">
        <is>
          <t>boolean</t>
        </is>
      </c>
      <c r="F141" s="76" t="n">
        <v>0</v>
      </c>
      <c r="G141" s="83" t="inlineStr">
        <is>
          <t>Costs 0: instead the card's whole score is ×1.5 (attacks miss it, or by it, about half the time)</t>
        </is>
      </c>
      <c r="H141" s="84" t="n"/>
      <c r="I141" s="83" t="n"/>
      <c r="J141" s="76" t="n">
        <v>27</v>
      </c>
    </row>
    <row r="142">
      <c r="A142" s="76" t="inlineStr">
        <is>
          <t>feeble</t>
        </is>
      </c>
      <c r="B142" s="76" t="inlineStr"/>
      <c r="C142" s="76" t="inlineStr">
        <is>
          <t>Feeble</t>
        </is>
      </c>
      <c r="D142" s="76" t="inlineStr">
        <is>
          <t>flag</t>
        </is>
      </c>
      <c r="E142" s="76" t="inlineStr">
        <is>
          <t>boolean</t>
        </is>
      </c>
      <c r="F142" s="76" t="inlineStr">
        <is>
          <t>— (default rule)</t>
        </is>
      </c>
      <c r="G142" s="83" t="inlineStr">
        <is>
          <t>Not in the table: costs 1</t>
        </is>
      </c>
      <c r="H142" s="84" t="n"/>
      <c r="I142" s="83" t="n"/>
      <c r="J142" s="76" t="n">
        <v>1</v>
      </c>
    </row>
    <row r="143">
      <c r="A143" s="76" t="inlineStr">
        <is>
          <t>mighty</t>
        </is>
      </c>
      <c r="B143" s="76" t="inlineStr"/>
      <c r="C143" s="76" t="inlineStr">
        <is>
          <t>Mighty</t>
        </is>
      </c>
      <c r="D143" s="76" t="inlineStr">
        <is>
          <t>flag</t>
        </is>
      </c>
      <c r="E143" s="76" t="inlineStr">
        <is>
          <t>boolean</t>
        </is>
      </c>
      <c r="F143" s="76" t="inlineStr">
        <is>
          <t>— (default rule)</t>
        </is>
      </c>
      <c r="G143" s="83" t="inlineStr">
        <is>
          <t>Not in the table: costs 1</t>
        </is>
      </c>
      <c r="H143" s="84" t="n"/>
      <c r="I143" s="83" t="n"/>
      <c r="J143" s="76" t="n">
        <v>1</v>
      </c>
    </row>
    <row r="144">
      <c r="A144" s="76" t="inlineStr">
        <is>
          <t>fragile</t>
        </is>
      </c>
      <c r="B144" s="76" t="inlineStr"/>
      <c r="C144" s="76" t="inlineStr">
        <is>
          <t>Fragile</t>
        </is>
      </c>
      <c r="D144" s="76" t="inlineStr">
        <is>
          <t>flag</t>
        </is>
      </c>
      <c r="E144" s="76" t="inlineStr">
        <is>
          <t>boolean</t>
        </is>
      </c>
      <c r="F144" s="76" t="inlineStr">
        <is>
          <t>— (default rule)</t>
        </is>
      </c>
      <c r="G144" s="83" t="inlineStr">
        <is>
          <t>Not in the table: costs 1</t>
        </is>
      </c>
      <c r="H144" s="84" t="n"/>
      <c r="I144" s="83" t="n"/>
      <c r="J144" s="76" t="n">
        <v>1</v>
      </c>
    </row>
    <row r="145">
      <c r="A145" s="76" t="inlineStr">
        <is>
          <t>sturdy</t>
        </is>
      </c>
      <c r="B145" s="76" t="inlineStr"/>
      <c r="C145" s="76" t="inlineStr">
        <is>
          <t>Sturdy</t>
        </is>
      </c>
      <c r="D145" s="76" t="inlineStr">
        <is>
          <t>flag</t>
        </is>
      </c>
      <c r="E145" s="76" t="inlineStr">
        <is>
          <t>boolean</t>
        </is>
      </c>
      <c r="F145" s="76" t="inlineStr">
        <is>
          <t>— (default rule)</t>
        </is>
      </c>
      <c r="G145" s="83" t="inlineStr">
        <is>
          <t>Not in the table: costs 1</t>
        </is>
      </c>
      <c r="H145" s="84" t="n"/>
      <c r="I145" s="83" t="n"/>
      <c r="J145" s="76" t="n">
        <v>1</v>
      </c>
    </row>
    <row r="146">
      <c r="A146" s="76" t="inlineStr">
        <is>
          <t>crit</t>
        </is>
      </c>
      <c r="B146" s="76" t="inlineStr"/>
      <c r="C146" s="76" t="inlineStr">
        <is>
          <t>Crit</t>
        </is>
      </c>
      <c r="D146" s="76" t="inlineStr">
        <is>
          <t>flag</t>
        </is>
      </c>
      <c r="E146" s="76" t="inlineStr">
        <is>
          <t>boolean</t>
        </is>
      </c>
      <c r="F146" s="76" t="inlineStr">
        <is>
          <t>— (default rule)</t>
        </is>
      </c>
      <c r="G146" s="83" t="inlineStr">
        <is>
          <t>Not in the table: costs 1</t>
        </is>
      </c>
      <c r="H146" s="84" t="n"/>
      <c r="I146" s="83" t="n"/>
      <c r="J146" s="76" t="n">
        <v>2</v>
      </c>
    </row>
    <row r="147">
      <c r="A147" s="76" t="inlineStr">
        <is>
          <t>fester</t>
        </is>
      </c>
      <c r="B147" s="76" t="inlineStr"/>
      <c r="C147" s="76" t="inlineStr">
        <is>
          <t>Fester</t>
        </is>
      </c>
      <c r="D147" s="76" t="inlineStr">
        <is>
          <t>flag</t>
        </is>
      </c>
      <c r="E147" s="76" t="inlineStr">
        <is>
          <t>boolean</t>
        </is>
      </c>
      <c r="F147" s="76" t="inlineStr">
        <is>
          <t>— (default rule)</t>
        </is>
      </c>
      <c r="G147" s="83" t="inlineStr">
        <is>
          <t>Not in the table: costs 1</t>
        </is>
      </c>
      <c r="H147" s="84" t="n"/>
      <c r="I147" s="83" t="n"/>
      <c r="J147" s="76" t="n">
        <v>2</v>
      </c>
    </row>
    <row r="148">
      <c r="A148" s="76" t="inlineStr">
        <is>
          <t>rupture</t>
        </is>
      </c>
      <c r="B148" s="76" t="inlineStr"/>
      <c r="C148" s="76" t="inlineStr">
        <is>
          <t>Rupture</t>
        </is>
      </c>
      <c r="D148" s="76" t="inlineStr">
        <is>
          <t>flag</t>
        </is>
      </c>
      <c r="E148" s="76" t="inlineStr">
        <is>
          <t>boolean</t>
        </is>
      </c>
      <c r="F148" s="76" t="inlineStr">
        <is>
          <t>— (default rule)</t>
        </is>
      </c>
      <c r="G148" s="83" t="inlineStr">
        <is>
          <t>Not in the table: costs 1</t>
        </is>
      </c>
      <c r="H148" s="84" t="n"/>
      <c r="I148" s="83" t="n"/>
      <c r="J148" s="76" t="n">
        <v>2</v>
      </c>
    </row>
    <row r="149">
      <c r="A149" s="76" t="inlineStr">
        <is>
          <t>bleed</t>
        </is>
      </c>
      <c r="B149" s="76" t="inlineStr">
        <is>
          <t>🩸</t>
        </is>
      </c>
      <c r="C149" s="76" t="inlineStr">
        <is>
          <t>Bleed</t>
        </is>
      </c>
      <c r="D149" s="76" t="inlineStr">
        <is>
          <t>number</t>
        </is>
      </c>
      <c r="E149" s="76" t="inlineStr">
        <is>
          <t>number</t>
        </is>
      </c>
      <c r="F149" s="76" t="inlineStr">
        <is>
          <t>v</t>
        </is>
      </c>
      <c r="G149" s="83" t="inlineStr">
        <is>
          <t>By its number: Bleed 2 costs 2 (at least 1; two-number values add up)</t>
        </is>
      </c>
      <c r="H149" s="84" t="n"/>
      <c r="I149" s="83" t="n"/>
      <c r="J149" s="76" t="n">
        <v>15</v>
      </c>
    </row>
    <row r="150">
      <c r="A150" s="76" t="inlineStr">
        <is>
          <t>esprit</t>
        </is>
      </c>
      <c r="B150" s="76" t="inlineStr">
        <is>
          <t>🤝</t>
        </is>
      </c>
      <c r="C150" s="76" t="inlineStr">
        <is>
          <t>Esprit</t>
        </is>
      </c>
      <c r="D150" s="76" t="inlineStr">
        <is>
          <t>number</t>
        </is>
      </c>
      <c r="E150" s="76" t="inlineStr">
        <is>
          <t>twoNumber</t>
        </is>
      </c>
      <c r="F150" s="76" t="inlineStr">
        <is>
          <t>— (default rule)</t>
        </is>
      </c>
      <c r="G150" s="83" t="inlineStr">
        <is>
          <t>Not in the table: costs 1, plus half its number (rounded down) when over 1</t>
        </is>
      </c>
      <c r="H150" s="84" t="n"/>
      <c r="I150" s="83" t="n"/>
      <c r="J150" s="76" t="n">
        <v>6</v>
      </c>
    </row>
    <row r="151">
      <c r="A151" s="76" t="inlineStr">
        <is>
          <t>regen</t>
        </is>
      </c>
      <c r="B151" s="76" t="inlineStr">
        <is>
          <t>💚</t>
        </is>
      </c>
      <c r="C151" s="76" t="inlineStr">
        <is>
          <t>Regeneration</t>
        </is>
      </c>
      <c r="D151" s="76" t="inlineStr">
        <is>
          <t>trigger</t>
        </is>
      </c>
      <c r="E151" s="76" t="inlineStr">
        <is>
          <t>number</t>
        </is>
      </c>
      <c r="F151" s="76" t="inlineStr">
        <is>
          <t>v</t>
        </is>
      </c>
      <c r="G151" s="83" t="inlineStr">
        <is>
          <t>By its number: Regeneration 2 costs 2 (at least 1; two-number values add up)</t>
        </is>
      </c>
      <c r="H151" s="84" t="n"/>
      <c r="I151" s="83" t="n"/>
      <c r="J151" s="76" t="n">
        <v>12</v>
      </c>
    </row>
    <row r="152">
      <c r="A152" s="76" t="inlineStr">
        <is>
          <t>stunOnHit</t>
        </is>
      </c>
      <c r="B152" s="76" t="inlineStr"/>
      <c r="C152" s="76" t="inlineStr">
        <is>
          <t>Stun</t>
        </is>
      </c>
      <c r="D152" s="76" t="inlineStr">
        <is>
          <t>number</t>
        </is>
      </c>
      <c r="E152" s="76" t="inlineStr">
        <is>
          <t>number</t>
        </is>
      </c>
      <c r="F152" s="76" t="inlineStr">
        <is>
          <t>— (default rule)</t>
        </is>
      </c>
      <c r="G152" s="83" t="inlineStr">
        <is>
          <t>Not in the table: costs 1, plus half its number (rounded down) when over 1</t>
        </is>
      </c>
      <c r="H152" s="84" t="n"/>
      <c r="I152" s="83" t="n"/>
      <c r="J152" s="76" t="n">
        <v>3</v>
      </c>
    </row>
    <row r="153">
      <c r="A153" s="76" t="inlineStr">
        <is>
          <t>puncture</t>
        </is>
      </c>
      <c r="B153" s="76" t="inlineStr">
        <is>
          <t>🎯</t>
        </is>
      </c>
      <c r="C153" s="76" t="inlineStr">
        <is>
          <t>Puncture</t>
        </is>
      </c>
      <c r="D153" s="76" t="inlineStr">
        <is>
          <t>number</t>
        </is>
      </c>
      <c r="E153" s="76" t="inlineStr">
        <is>
          <t>number</t>
        </is>
      </c>
      <c r="F153" s="76" t="inlineStr">
        <is>
          <t>— (default rule)</t>
        </is>
      </c>
      <c r="G153" s="83" t="inlineStr">
        <is>
          <t>Not in the table: costs 1, plus half its number (rounded down) when over 1</t>
        </is>
      </c>
      <c r="H153" s="84" t="n"/>
      <c r="I153" s="83" t="n"/>
      <c r="J153" s="76" t="n">
        <v>3</v>
      </c>
    </row>
    <row r="154">
      <c r="A154" s="76" t="inlineStr">
        <is>
          <t>gash</t>
        </is>
      </c>
      <c r="B154" s="76" t="inlineStr"/>
      <c r="C154" s="76" t="inlineStr">
        <is>
          <t>Gash</t>
        </is>
      </c>
      <c r="D154" s="76" t="inlineStr">
        <is>
          <t>trigger</t>
        </is>
      </c>
      <c r="E154" s="76" t="inlineStr">
        <is>
          <t>number</t>
        </is>
      </c>
      <c r="F154" s="76" t="inlineStr">
        <is>
          <t>— (default rule)</t>
        </is>
      </c>
      <c r="G154" s="83" t="inlineStr">
        <is>
          <t>Not in the table: costs 1, plus half its number (rounded down) when over 1</t>
        </is>
      </c>
      <c r="H154" s="84" t="n"/>
      <c r="I154" s="83" t="n"/>
      <c r="J154" s="76" t="n">
        <v>4</v>
      </c>
    </row>
    <row r="155">
      <c r="A155" s="76" t="inlineStr">
        <is>
          <t>overwhelm</t>
        </is>
      </c>
      <c r="B155" s="76" t="inlineStr">
        <is>
          <t>🐘</t>
        </is>
      </c>
      <c r="C155" s="76" t="inlineStr">
        <is>
          <t>Stampede</t>
        </is>
      </c>
      <c r="D155" s="76" t="inlineStr">
        <is>
          <t>flag</t>
        </is>
      </c>
      <c r="E155" s="76" t="inlineStr">
        <is>
          <t>boolean</t>
        </is>
      </c>
      <c r="F155" s="76" t="inlineStr">
        <is>
          <t>— (default rule)</t>
        </is>
      </c>
      <c r="G155" s="83" t="inlineStr">
        <is>
          <t>Not in the table: costs 1</t>
        </is>
      </c>
      <c r="H155" s="84" t="n"/>
      <c r="I155" s="83" t="n"/>
      <c r="J155" s="76" t="n">
        <v>5</v>
      </c>
    </row>
    <row r="156">
      <c r="A156" s="76" t="inlineStr">
        <is>
          <t>berserk</t>
        </is>
      </c>
      <c r="B156" s="76" t="inlineStr">
        <is>
          <t>😡</t>
        </is>
      </c>
      <c r="C156" s="76" t="inlineStr">
        <is>
          <t>Berserk</t>
        </is>
      </c>
      <c r="D156" s="76" t="inlineStr">
        <is>
          <t>trigger</t>
        </is>
      </c>
      <c r="E156" s="76" t="inlineStr">
        <is>
          <t>number</t>
        </is>
      </c>
      <c r="F156" s="76" t="inlineStr">
        <is>
          <t>— (default rule)</t>
        </is>
      </c>
      <c r="G156" s="83" t="inlineStr">
        <is>
          <t>Not in the table: costs 1, plus half its number (rounded down) when over 1</t>
        </is>
      </c>
      <c r="H156" s="84" t="n"/>
      <c r="I156" s="83" t="n"/>
      <c r="J156" s="76" t="n">
        <v>2</v>
      </c>
    </row>
    <row r="157">
      <c r="A157" s="76" t="inlineStr">
        <is>
          <t>bulwark</t>
        </is>
      </c>
      <c r="B157" s="76" t="inlineStr">
        <is>
          <t>🧱</t>
        </is>
      </c>
      <c r="C157" s="76" t="inlineStr">
        <is>
          <t>Bulwark</t>
        </is>
      </c>
      <c r="D157" s="76" t="inlineStr">
        <is>
          <t>number</t>
        </is>
      </c>
      <c r="E157" s="76" t="inlineStr">
        <is>
          <t>number</t>
        </is>
      </c>
      <c r="F157" s="76" t="inlineStr">
        <is>
          <t>— (default rule)</t>
        </is>
      </c>
      <c r="G157" s="83" t="inlineStr">
        <is>
          <t>Not in the table: costs 1, plus half its number (rounded down) when over 1</t>
        </is>
      </c>
      <c r="H157" s="84" t="n"/>
      <c r="I157" s="83" t="n"/>
      <c r="J157" s="76" t="n">
        <v>2</v>
      </c>
    </row>
    <row r="158">
      <c r="A158" s="76" t="inlineStr">
        <is>
          <t>reflect</t>
        </is>
      </c>
      <c r="B158" s="76" t="inlineStr">
        <is>
          <t>🪞</t>
        </is>
      </c>
      <c r="C158" s="76" t="inlineStr">
        <is>
          <t>Reflect</t>
        </is>
      </c>
      <c r="D158" s="76" t="inlineStr">
        <is>
          <t>flag</t>
        </is>
      </c>
      <c r="E158" s="76" t="inlineStr">
        <is>
          <t>boolean</t>
        </is>
      </c>
      <c r="F158" s="76" t="inlineStr">
        <is>
          <t>— (default rule)</t>
        </is>
      </c>
      <c r="G158" s="83" t="inlineStr">
        <is>
          <t>Not in the table: costs 1</t>
        </is>
      </c>
      <c r="H158" s="84" t="n"/>
      <c r="I158" s="83" t="n"/>
      <c r="J158" s="76" t="n">
        <v>3</v>
      </c>
    </row>
    <row r="159">
      <c r="A159" s="76" t="inlineStr">
        <is>
          <t>momentum</t>
        </is>
      </c>
      <c r="B159" s="76" t="inlineStr">
        <is>
          <t>⌰</t>
        </is>
      </c>
      <c r="C159" s="76" t="inlineStr">
        <is>
          <t>Momentum</t>
        </is>
      </c>
      <c r="D159" s="76" t="inlineStr">
        <is>
          <t>trigger</t>
        </is>
      </c>
      <c r="E159" s="76" t="inlineStr">
        <is>
          <t>number</t>
        </is>
      </c>
      <c r="F159" s="76" t="inlineStr">
        <is>
          <t>— (default rule)</t>
        </is>
      </c>
      <c r="G159" s="83" t="inlineStr">
        <is>
          <t>Not in the table: costs 1, plus half its number (rounded down) when over 1</t>
        </is>
      </c>
      <c r="H159" s="84" t="n"/>
      <c r="I159" s="83" t="n"/>
      <c r="J159" s="76" t="n">
        <v>2</v>
      </c>
    </row>
    <row r="160">
      <c r="A160" s="76" t="inlineStr">
        <is>
          <t>bloom</t>
        </is>
      </c>
      <c r="B160" s="76" t="inlineStr">
        <is>
          <t>🌸</t>
        </is>
      </c>
      <c r="C160" s="76" t="inlineStr">
        <is>
          <t>Bloom</t>
        </is>
      </c>
      <c r="D160" s="76" t="inlineStr">
        <is>
          <t>trigger</t>
        </is>
      </c>
      <c r="E160" s="76" t="inlineStr">
        <is>
          <t>number</t>
        </is>
      </c>
      <c r="F160" s="76" t="inlineStr">
        <is>
          <t>— (default rule)</t>
        </is>
      </c>
      <c r="G160" s="83" t="inlineStr">
        <is>
          <t>Not in the table: costs 1, plus half its number (rounded down) when over 1</t>
        </is>
      </c>
      <c r="H160" s="84" t="n"/>
      <c r="I160" s="83" t="n"/>
      <c r="J160" s="76" t="n">
        <v>3</v>
      </c>
    </row>
    <row r="161">
      <c r="A161" s="76" t="inlineStr">
        <is>
          <t>ambush</t>
        </is>
      </c>
      <c r="B161" s="76" t="inlineStr"/>
      <c r="C161" s="76" t="inlineStr">
        <is>
          <t>Ambush</t>
        </is>
      </c>
      <c r="D161" s="76" t="inlineStr">
        <is>
          <t>number</t>
        </is>
      </c>
      <c r="E161" s="76" t="inlineStr">
        <is>
          <t>number</t>
        </is>
      </c>
      <c r="F161" s="76" t="inlineStr">
        <is>
          <t>— (default rule)</t>
        </is>
      </c>
      <c r="G161" s="83" t="inlineStr">
        <is>
          <t>Not in the table: costs 1, plus half its number (rounded down) when over 1</t>
        </is>
      </c>
      <c r="H161" s="84" t="n"/>
      <c r="I161" s="83" t="n"/>
      <c r="J161" s="76" t="n">
        <v>5</v>
      </c>
    </row>
    <row r="162">
      <c r="A162" s="76" t="inlineStr">
        <is>
          <t>siege</t>
        </is>
      </c>
      <c r="B162" s="76" t="inlineStr"/>
      <c r="C162" s="76" t="inlineStr">
        <is>
          <t>Siege</t>
        </is>
      </c>
      <c r="D162" s="76" t="inlineStr">
        <is>
          <t>number</t>
        </is>
      </c>
      <c r="E162" s="76" t="inlineStr">
        <is>
          <t>number</t>
        </is>
      </c>
      <c r="F162" s="76" t="inlineStr">
        <is>
          <t>— (default rule)</t>
        </is>
      </c>
      <c r="G162" s="83" t="inlineStr">
        <is>
          <t>Not in the table: costs 1, plus half its number (rounded down) when over 1</t>
        </is>
      </c>
      <c r="H162" s="84" t="n"/>
      <c r="I162" s="83" t="n"/>
      <c r="J162" s="76" t="n">
        <v>3</v>
      </c>
    </row>
    <row r="163">
      <c r="A163" s="76" t="inlineStr">
        <is>
          <t>corrode</t>
        </is>
      </c>
      <c r="B163" s="76" t="inlineStr"/>
      <c r="C163" s="76" t="inlineStr">
        <is>
          <t>Corrode</t>
        </is>
      </c>
      <c r="D163" s="76" t="inlineStr">
        <is>
          <t>number</t>
        </is>
      </c>
      <c r="E163" s="76" t="inlineStr">
        <is>
          <t>number</t>
        </is>
      </c>
      <c r="F163" s="76" t="inlineStr">
        <is>
          <t>— (default rule)</t>
        </is>
      </c>
      <c r="G163" s="83" t="inlineStr">
        <is>
          <t>Not in the table: costs 1, plus half its number (rounded down) when over 1</t>
        </is>
      </c>
      <c r="H163" s="84" t="n"/>
      <c r="I163" s="83" t="n"/>
      <c r="J163" s="76" t="n">
        <v>3</v>
      </c>
    </row>
    <row r="164">
      <c r="A164" s="76" t="inlineStr">
        <is>
          <t>daunt</t>
        </is>
      </c>
      <c r="B164" s="76" t="inlineStr"/>
      <c r="C164" s="76" t="inlineStr">
        <is>
          <t>Daunt</t>
        </is>
      </c>
      <c r="D164" s="76" t="inlineStr">
        <is>
          <t>number</t>
        </is>
      </c>
      <c r="E164" s="76" t="inlineStr">
        <is>
          <t>number</t>
        </is>
      </c>
      <c r="F164" s="76" t="inlineStr">
        <is>
          <t>— (default rule)</t>
        </is>
      </c>
      <c r="G164" s="83" t="inlineStr">
        <is>
          <t>Not in the table: costs 1, plus half its number (rounded down) when over 1</t>
        </is>
      </c>
      <c r="H164" s="84" t="n"/>
      <c r="I164" s="83" t="n"/>
      <c r="J164" s="76" t="n">
        <v>3</v>
      </c>
    </row>
    <row r="165">
      <c r="A165" s="76" t="inlineStr">
        <is>
          <t>recoil</t>
        </is>
      </c>
      <c r="B165" s="76" t="inlineStr"/>
      <c r="C165" s="76" t="inlineStr">
        <is>
          <t>Recoil</t>
        </is>
      </c>
      <c r="D165" s="76" t="inlineStr">
        <is>
          <t>number</t>
        </is>
      </c>
      <c r="E165" s="76" t="inlineStr">
        <is>
          <t>number</t>
        </is>
      </c>
      <c r="F165" s="76" t="inlineStr">
        <is>
          <t>— (default rule)</t>
        </is>
      </c>
      <c r="G165" s="83" t="inlineStr">
        <is>
          <t>Not in the table: costs 1, plus half its number (rounded down) when over 1</t>
        </is>
      </c>
      <c r="H165" s="84" t="n"/>
      <c r="I165" s="83" t="n"/>
      <c r="J165" s="76" t="n">
        <v>1</v>
      </c>
    </row>
    <row r="166">
      <c r="A166" s="76" t="inlineStr">
        <is>
          <t>inherentDarkness</t>
        </is>
      </c>
      <c r="B166" s="76" t="inlineStr"/>
      <c r="C166" s="76" t="inlineStr">
        <is>
          <t>Inherent Darkness</t>
        </is>
      </c>
      <c r="D166" s="76" t="inlineStr">
        <is>
          <t>trigger</t>
        </is>
      </c>
      <c r="E166" s="76" t="inlineStr">
        <is>
          <t>number</t>
        </is>
      </c>
      <c r="F166" s="76" t="inlineStr">
        <is>
          <t>— (default rule)</t>
        </is>
      </c>
      <c r="G166" s="83" t="inlineStr">
        <is>
          <t>Not in the table: costs 1, plus half its number (rounded down) when over 1</t>
        </is>
      </c>
      <c r="H166" s="84" t="n"/>
      <c r="I166" s="83" t="n"/>
      <c r="J166" s="76" t="n">
        <v>2</v>
      </c>
    </row>
    <row r="167">
      <c r="A167" s="76" t="inlineStr">
        <is>
          <t>coreEvil</t>
        </is>
      </c>
      <c r="B167" s="76" t="inlineStr"/>
      <c r="C167" s="76" t="inlineStr">
        <is>
          <t>Core Evil</t>
        </is>
      </c>
      <c r="D167" s="76" t="inlineStr">
        <is>
          <t>trigger</t>
        </is>
      </c>
      <c r="E167" s="76" t="inlineStr">
        <is>
          <t>boolean</t>
        </is>
      </c>
      <c r="F167" s="76" t="inlineStr">
        <is>
          <t>— (default rule)</t>
        </is>
      </c>
      <c r="G167" s="83" t="inlineStr">
        <is>
          <t>Not in the table: costs 1, plus half its number (rounded down) when over 1</t>
        </is>
      </c>
      <c r="H167" s="84" t="n"/>
      <c r="I167" s="83" t="n"/>
      <c r="J167" s="76" t="n">
        <v>2</v>
      </c>
    </row>
    <row r="168">
      <c r="A168" s="76" t="inlineStr">
        <is>
          <t>frenzy</t>
        </is>
      </c>
      <c r="B168" s="76" t="inlineStr">
        <is>
          <t>⚡</t>
        </is>
      </c>
      <c r="C168" s="76" t="inlineStr">
        <is>
          <t>Frenzy</t>
        </is>
      </c>
      <c r="D168" s="76" t="inlineStr">
        <is>
          <t>flag</t>
        </is>
      </c>
      <c r="E168" s="76" t="inlineStr">
        <is>
          <t>boolean</t>
        </is>
      </c>
      <c r="F168" s="76" t="inlineStr">
        <is>
          <t>— (default rule)</t>
        </is>
      </c>
      <c r="G168" s="83" t="inlineStr">
        <is>
          <t>Not in the table: costs 1</t>
        </is>
      </c>
      <c r="H168" s="84" t="n"/>
      <c r="I168" s="83" t="n"/>
      <c r="J168" s="76" t="n">
        <v>2</v>
      </c>
    </row>
    <row r="169">
      <c r="A169" s="76" t="inlineStr">
        <is>
          <t>pierce</t>
        </is>
      </c>
      <c r="B169" s="76" t="inlineStr">
        <is>
          <t>🗡</t>
        </is>
      </c>
      <c r="C169" s="76" t="inlineStr">
        <is>
          <t>Pierce</t>
        </is>
      </c>
      <c r="D169" s="76" t="inlineStr">
        <is>
          <t>number</t>
        </is>
      </c>
      <c r="E169" s="76" t="inlineStr">
        <is>
          <t>number</t>
        </is>
      </c>
      <c r="F169" s="76" t="inlineStr">
        <is>
          <t>— (default rule)</t>
        </is>
      </c>
      <c r="G169" s="83" t="inlineStr">
        <is>
          <t>Not in the table: costs 1, plus half its number (rounded down) when over 1</t>
        </is>
      </c>
      <c r="H169" s="84" t="n"/>
      <c r="I169" s="83" t="n"/>
      <c r="J169" s="76" t="n">
        <v>6</v>
      </c>
    </row>
    <row r="170">
      <c r="A170" s="76" t="inlineStr">
        <is>
          <t>perforate</t>
        </is>
      </c>
      <c r="B170" s="76" t="inlineStr">
        <is>
          <t>🩸🎯</t>
        </is>
      </c>
      <c r="C170" s="76" t="inlineStr">
        <is>
          <t>Perforate</t>
        </is>
      </c>
      <c r="D170" s="76" t="inlineStr">
        <is>
          <t>number</t>
        </is>
      </c>
      <c r="E170" s="76" t="inlineStr">
        <is>
          <t>number</t>
        </is>
      </c>
      <c r="F170" s="76" t="inlineStr">
        <is>
          <t>— (default rule)</t>
        </is>
      </c>
      <c r="G170" s="83" t="inlineStr">
        <is>
          <t>Not in the table: costs 1, plus half its number (rounded down) when over 1</t>
        </is>
      </c>
      <c r="H170" s="84" t="n"/>
      <c r="I170" s="83" t="n"/>
      <c r="J170" s="76" t="n">
        <v>1</v>
      </c>
    </row>
    <row r="171">
      <c r="A171" s="76" t="inlineStr">
        <is>
          <t>flying</t>
        </is>
      </c>
      <c r="B171" s="76" t="inlineStr">
        <is>
          <t>🪽</t>
        </is>
      </c>
      <c r="C171" s="76" t="inlineStr">
        <is>
          <t>Flying</t>
        </is>
      </c>
      <c r="D171" s="76" t="inlineStr">
        <is>
          <t>flag</t>
        </is>
      </c>
      <c r="E171" s="76" t="inlineStr">
        <is>
          <t>boolean</t>
        </is>
      </c>
      <c r="F171" s="76" t="n">
        <v>0</v>
      </c>
      <c r="G171" s="83" t="inlineStr">
        <is>
          <t>Costs 0: instead the card's whole score is ×1.5 (attacks miss it, or by it, about half the time)</t>
        </is>
      </c>
      <c r="H171" s="84" t="n"/>
      <c r="I171" s="83" t="n"/>
      <c r="J171" s="76" t="n">
        <v>112</v>
      </c>
    </row>
    <row r="172">
      <c r="A172" s="76" t="inlineStr">
        <is>
          <t>earthquake</t>
        </is>
      </c>
      <c r="B172" s="76" t="inlineStr">
        <is>
          <t>🌎💥</t>
        </is>
      </c>
      <c r="C172" s="76" t="inlineStr">
        <is>
          <t>Earthquake</t>
        </is>
      </c>
      <c r="D172" s="76" t="inlineStr">
        <is>
          <t>trigger</t>
        </is>
      </c>
      <c r="E172" s="76" t="inlineStr">
        <is>
          <t>number</t>
        </is>
      </c>
      <c r="F172" s="76" t="inlineStr">
        <is>
          <t>— (default rule)</t>
        </is>
      </c>
      <c r="G172" s="83" t="inlineStr">
        <is>
          <t>Not in the table: costs 1, plus half its number (rounded down) when over 1</t>
        </is>
      </c>
      <c r="H172" s="84" t="n"/>
      <c r="I172" s="83" t="n"/>
      <c r="J172" s="76" t="n">
        <v>3</v>
      </c>
    </row>
    <row r="173">
      <c r="A173" s="76" t="inlineStr">
        <is>
          <t>pounce</t>
        </is>
      </c>
      <c r="B173" s="76" t="inlineStr">
        <is>
          <t>🐾</t>
        </is>
      </c>
      <c r="C173" s="76" t="inlineStr">
        <is>
          <t>Pounce</t>
        </is>
      </c>
      <c r="D173" s="76" t="inlineStr">
        <is>
          <t>trigger</t>
        </is>
      </c>
      <c r="E173" s="76" t="inlineStr">
        <is>
          <t>selectNumber</t>
        </is>
      </c>
      <c r="F173" s="76" t="inlineStr">
        <is>
          <t>— (default rule)</t>
        </is>
      </c>
      <c r="G173" s="83" t="inlineStr">
        <is>
          <t>Not in the table: costs 1, plus half its number (rounded down) when over 1</t>
        </is>
      </c>
      <c r="H173" s="84" t="n"/>
      <c r="I173" s="83" t="n"/>
      <c r="J173" s="76" t="n">
        <v>12</v>
      </c>
    </row>
    <row r="174">
      <c r="A174" s="76" t="inlineStr">
        <is>
          <t>skyfall</t>
        </is>
      </c>
      <c r="B174" s="76" t="inlineStr"/>
      <c r="C174" s="76" t="inlineStr">
        <is>
          <t>Skyfall</t>
        </is>
      </c>
      <c r="D174" s="76" t="inlineStr">
        <is>
          <t>trigger</t>
        </is>
      </c>
      <c r="E174" s="76" t="inlineStr">
        <is>
          <t>number</t>
        </is>
      </c>
      <c r="F174" s="76" t="inlineStr">
        <is>
          <t>— (default rule)</t>
        </is>
      </c>
      <c r="G174" s="83" t="inlineStr">
        <is>
          <t>Not in the table: costs 1, plus half its number (rounded down) when over 1</t>
        </is>
      </c>
      <c r="H174" s="84" t="n"/>
      <c r="I174" s="83" t="n"/>
      <c r="J174" s="76" t="n">
        <v>2</v>
      </c>
    </row>
    <row r="175">
      <c r="A175" s="76" t="inlineStr">
        <is>
          <t>arrow</t>
        </is>
      </c>
      <c r="B175" s="76" t="inlineStr"/>
      <c r="C175" s="76" t="inlineStr">
        <is>
          <t>Arrow</t>
        </is>
      </c>
      <c r="D175" s="76" t="inlineStr">
        <is>
          <t>trigger</t>
        </is>
      </c>
      <c r="E175" s="76" t="inlineStr">
        <is>
          <t>number</t>
        </is>
      </c>
      <c r="F175" s="76" t="inlineStr">
        <is>
          <t>— (default rule)</t>
        </is>
      </c>
      <c r="G175" s="83" t="inlineStr">
        <is>
          <t>Not in the table: costs 1, plus half its number (rounded down) when over 1</t>
        </is>
      </c>
      <c r="H175" s="84" t="n"/>
      <c r="I175" s="83" t="n"/>
      <c r="J175" s="76" t="n">
        <v>13</v>
      </c>
    </row>
    <row r="176">
      <c r="A176" s="76" t="inlineStr">
        <is>
          <t>fireArrow</t>
        </is>
      </c>
      <c r="B176" s="76" t="inlineStr"/>
      <c r="C176" s="76" t="inlineStr">
        <is>
          <t>Fire Arrow</t>
        </is>
      </c>
      <c r="D176" s="76" t="inlineStr">
        <is>
          <t>trigger</t>
        </is>
      </c>
      <c r="E176" s="76" t="inlineStr">
        <is>
          <t>number</t>
        </is>
      </c>
      <c r="F176" s="76" t="inlineStr">
        <is>
          <t>— (default rule)</t>
        </is>
      </c>
      <c r="G176" s="83" t="inlineStr">
        <is>
          <t>Not in the table: costs 1, plus half its number (rounded down) when over 1</t>
        </is>
      </c>
      <c r="H176" s="84" t="n"/>
      <c r="I176" s="83" t="n"/>
      <c r="J176" s="76" t="n">
        <v>6</v>
      </c>
    </row>
    <row r="177">
      <c r="A177" s="76" t="inlineStr">
        <is>
          <t>iceArrow</t>
        </is>
      </c>
      <c r="B177" s="76" t="inlineStr"/>
      <c r="C177" s="76" t="inlineStr">
        <is>
          <t>Ice Arrow</t>
        </is>
      </c>
      <c r="D177" s="76" t="inlineStr">
        <is>
          <t>trigger</t>
        </is>
      </c>
      <c r="E177" s="76" t="inlineStr">
        <is>
          <t>number</t>
        </is>
      </c>
      <c r="F177" s="76" t="inlineStr">
        <is>
          <t>— (default rule)</t>
        </is>
      </c>
      <c r="G177" s="83" t="inlineStr">
        <is>
          <t>Not in the table: costs 1, plus half its number (rounded down) when over 1</t>
        </is>
      </c>
      <c r="H177" s="84" t="n"/>
      <c r="I177" s="83" t="n"/>
      <c r="J177" s="76" t="n">
        <v>2</v>
      </c>
    </row>
    <row r="178">
      <c r="A178" s="76" t="inlineStr">
        <is>
          <t>arrowCount</t>
        </is>
      </c>
      <c r="B178" s="76" t="inlineStr"/>
      <c r="C178" s="76" t="inlineStr">
        <is>
          <t>Arrow Count</t>
        </is>
      </c>
      <c r="D178" s="76" t="inlineStr">
        <is>
          <t>trigger</t>
        </is>
      </c>
      <c r="E178" s="76" t="inlineStr">
        <is>
          <t>number</t>
        </is>
      </c>
      <c r="F178" s="76" t="inlineStr">
        <is>
          <t>— (default rule)</t>
        </is>
      </c>
      <c r="G178" s="83" t="inlineStr">
        <is>
          <t>Not in the table: costs 1, plus half its number (rounded down) when over 1</t>
        </is>
      </c>
      <c r="H178" s="84" t="n"/>
      <c r="I178" s="83" t="n"/>
      <c r="J178" s="76" t="n">
        <v>1</v>
      </c>
    </row>
    <row r="179">
      <c r="A179" s="76" t="inlineStr">
        <is>
          <t>twinShot</t>
        </is>
      </c>
      <c r="B179" s="76" t="inlineStr"/>
      <c r="C179" s="76" t="inlineStr">
        <is>
          <t>Twin Shot</t>
        </is>
      </c>
      <c r="D179" s="76" t="inlineStr">
        <is>
          <t>trigger</t>
        </is>
      </c>
      <c r="E179" s="76" t="inlineStr">
        <is>
          <t>number</t>
        </is>
      </c>
      <c r="F179" s="76" t="inlineStr">
        <is>
          <t>— (default rule)</t>
        </is>
      </c>
      <c r="G179" s="83" t="inlineStr">
        <is>
          <t>Not in the table: costs 1, plus half its number (rounded down) when over 1</t>
        </is>
      </c>
      <c r="H179" s="84" t="n"/>
      <c r="I179" s="83" t="n"/>
      <c r="J179" s="76" t="n">
        <v>1</v>
      </c>
    </row>
    <row r="180">
      <c r="A180" s="76" t="inlineStr">
        <is>
          <t>volley</t>
        </is>
      </c>
      <c r="B180" s="76" t="inlineStr"/>
      <c r="C180" s="76" t="inlineStr">
        <is>
          <t>Volley</t>
        </is>
      </c>
      <c r="D180" s="76" t="inlineStr">
        <is>
          <t>trigger</t>
        </is>
      </c>
      <c r="E180" s="76" t="inlineStr">
        <is>
          <t>number</t>
        </is>
      </c>
      <c r="F180" s="76" t="inlineStr">
        <is>
          <t>— (default rule)</t>
        </is>
      </c>
      <c r="G180" s="83" t="inlineStr">
        <is>
          <t>Not in the table: costs 1, plus half its number (rounded down) when over 1</t>
        </is>
      </c>
      <c r="H180" s="84" t="n"/>
      <c r="I180" s="83" t="n"/>
      <c r="J180" s="76" t="n">
        <v>2</v>
      </c>
    </row>
    <row r="181">
      <c r="A181" s="76" t="inlineStr">
        <is>
          <t>fireBolt</t>
        </is>
      </c>
      <c r="B181" s="76" t="inlineStr"/>
      <c r="C181" s="76" t="inlineStr">
        <is>
          <t>Fire Bolt</t>
        </is>
      </c>
      <c r="D181" s="76" t="inlineStr">
        <is>
          <t>trigger</t>
        </is>
      </c>
      <c r="E181" s="76" t="inlineStr">
        <is>
          <t>number</t>
        </is>
      </c>
      <c r="F181" s="76" t="inlineStr">
        <is>
          <t>— (default rule)</t>
        </is>
      </c>
      <c r="G181" s="83" t="inlineStr">
        <is>
          <t>Not in the table: costs 1, plus half its number (rounded down) when over 1</t>
        </is>
      </c>
      <c r="H181" s="84" t="n"/>
      <c r="I181" s="83" t="n"/>
      <c r="J181" s="76" t="n">
        <v>1</v>
      </c>
    </row>
    <row r="182">
      <c r="A182" s="76" t="inlineStr">
        <is>
          <t>acidBolt</t>
        </is>
      </c>
      <c r="B182" s="76" t="inlineStr"/>
      <c r="C182" s="76" t="inlineStr">
        <is>
          <t>Acid Bolt</t>
        </is>
      </c>
      <c r="D182" s="76" t="inlineStr">
        <is>
          <t>trigger</t>
        </is>
      </c>
      <c r="E182" s="76" t="inlineStr">
        <is>
          <t>number</t>
        </is>
      </c>
      <c r="F182" s="76" t="inlineStr">
        <is>
          <t>— (default rule)</t>
        </is>
      </c>
      <c r="G182" s="83" t="inlineStr">
        <is>
          <t>Not in the table: costs 1, plus half its number (rounded down) when over 1</t>
        </is>
      </c>
      <c r="H182" s="84" t="n"/>
      <c r="I182" s="83" t="n"/>
      <c r="J182" s="76" t="n">
        <v>1</v>
      </c>
    </row>
    <row r="183">
      <c r="A183" s="76" t="inlineStr">
        <is>
          <t>poisonBolt</t>
        </is>
      </c>
      <c r="B183" s="76" t="inlineStr"/>
      <c r="C183" s="76" t="inlineStr">
        <is>
          <t>Poison Bolt</t>
        </is>
      </c>
      <c r="D183" s="76" t="inlineStr">
        <is>
          <t>trigger</t>
        </is>
      </c>
      <c r="E183" s="76" t="inlineStr">
        <is>
          <t>number</t>
        </is>
      </c>
      <c r="F183" s="76" t="inlineStr">
        <is>
          <t>— (default rule)</t>
        </is>
      </c>
      <c r="G183" s="83" t="inlineStr">
        <is>
          <t>Not in the table: costs 1, plus half its number (rounded down) when over 1</t>
        </is>
      </c>
      <c r="H183" s="84" t="n"/>
      <c r="I183" s="83" t="n"/>
      <c r="J183" s="76" t="n">
        <v>1</v>
      </c>
    </row>
    <row r="184">
      <c r="A184" s="76" t="inlineStr">
        <is>
          <t>iceBolt</t>
        </is>
      </c>
      <c r="B184" s="76" t="inlineStr"/>
      <c r="C184" s="76" t="inlineStr">
        <is>
          <t>Ice Bolt</t>
        </is>
      </c>
      <c r="D184" s="76" t="inlineStr">
        <is>
          <t>trigger</t>
        </is>
      </c>
      <c r="E184" s="76" t="inlineStr">
        <is>
          <t>number</t>
        </is>
      </c>
      <c r="F184" s="76" t="inlineStr">
        <is>
          <t>— (default rule)</t>
        </is>
      </c>
      <c r="G184" s="83" t="inlineStr">
        <is>
          <t>Not in the table: costs 1, plus half its number (rounded down) when over 1</t>
        </is>
      </c>
      <c r="H184" s="84" t="n"/>
      <c r="I184" s="83" t="n"/>
      <c r="J184" s="76" t="n">
        <v>1</v>
      </c>
    </row>
    <row r="185">
      <c r="A185" s="76" t="inlineStr">
        <is>
          <t>shockBolt</t>
        </is>
      </c>
      <c r="B185" s="76" t="inlineStr"/>
      <c r="C185" s="76" t="inlineStr">
        <is>
          <t>Shock Bolt</t>
        </is>
      </c>
      <c r="D185" s="76" t="inlineStr">
        <is>
          <t>trigger</t>
        </is>
      </c>
      <c r="E185" s="76" t="inlineStr">
        <is>
          <t>number</t>
        </is>
      </c>
      <c r="F185" s="76" t="inlineStr">
        <is>
          <t>— (default rule)</t>
        </is>
      </c>
      <c r="G185" s="83" t="inlineStr">
        <is>
          <t>Not in the table: costs 1, plus half its number (rounded down) when over 1</t>
        </is>
      </c>
      <c r="H185" s="84" t="n"/>
      <c r="I185" s="83" t="n"/>
      <c r="J185" s="76" t="n">
        <v>1</v>
      </c>
    </row>
    <row r="186">
      <c r="A186" s="76" t="inlineStr">
        <is>
          <t>kingSlayer</t>
        </is>
      </c>
      <c r="B186" s="76" t="inlineStr">
        <is>
          <t>👑⚔️</t>
        </is>
      </c>
      <c r="C186" s="76" t="inlineStr">
        <is>
          <t>King Slayer</t>
        </is>
      </c>
      <c r="D186" s="76" t="inlineStr">
        <is>
          <t>number</t>
        </is>
      </c>
      <c r="E186" s="76" t="inlineStr">
        <is>
          <t>number</t>
        </is>
      </c>
      <c r="F186" s="76" t="inlineStr">
        <is>
          <t>— (default rule)</t>
        </is>
      </c>
      <c r="G186" s="83" t="inlineStr">
        <is>
          <t>Not in the table: costs 1, plus half its number (rounded down) when over 1</t>
        </is>
      </c>
      <c r="H186" s="84" t="n"/>
      <c r="I186" s="83" t="n"/>
      <c r="J186" s="76" t="n">
        <v>2</v>
      </c>
    </row>
    <row r="187">
      <c r="A187" s="76" t="inlineStr">
        <is>
          <t>tornado</t>
        </is>
      </c>
      <c r="B187" s="76" t="inlineStr"/>
      <c r="C187" s="76" t="inlineStr">
        <is>
          <t>Tornado</t>
        </is>
      </c>
      <c r="D187" s="76" t="inlineStr">
        <is>
          <t>trigger</t>
        </is>
      </c>
      <c r="E187" s="76" t="inlineStr">
        <is>
          <t>number</t>
        </is>
      </c>
      <c r="F187" s="76" t="inlineStr">
        <is>
          <t>— (default rule)</t>
        </is>
      </c>
      <c r="G187" s="83" t="inlineStr">
        <is>
          <t>Not in the table: costs 1, plus half its number (rounded down) when over 1</t>
        </is>
      </c>
      <c r="H187" s="84" t="n"/>
      <c r="I187" s="83" t="n"/>
      <c r="J187" s="76" t="n">
        <v>1</v>
      </c>
    </row>
    <row r="188">
      <c r="A188" s="76" t="inlineStr">
        <is>
          <t>avalanche</t>
        </is>
      </c>
      <c r="B188" s="76" t="inlineStr"/>
      <c r="C188" s="76" t="inlineStr">
        <is>
          <t>Avalanche</t>
        </is>
      </c>
      <c r="D188" s="76" t="inlineStr">
        <is>
          <t>trigger</t>
        </is>
      </c>
      <c r="E188" s="76" t="inlineStr">
        <is>
          <t>number</t>
        </is>
      </c>
      <c r="F188" s="76" t="inlineStr">
        <is>
          <t>— (default rule)</t>
        </is>
      </c>
      <c r="G188" s="83" t="inlineStr">
        <is>
          <t>Not in the table: costs 1, plus half its number (rounded down) when over 1</t>
        </is>
      </c>
      <c r="H188" s="84" t="n"/>
      <c r="I188" s="83" t="n"/>
      <c r="J188" s="76" t="n">
        <v>1</v>
      </c>
    </row>
    <row r="189">
      <c r="A189" s="76" t="inlineStr">
        <is>
          <t>tsunami</t>
        </is>
      </c>
      <c r="B189" s="76" t="inlineStr"/>
      <c r="C189" s="76" t="inlineStr">
        <is>
          <t>Tsunami</t>
        </is>
      </c>
      <c r="D189" s="76" t="inlineStr">
        <is>
          <t>trigger</t>
        </is>
      </c>
      <c r="E189" s="76" t="inlineStr">
        <is>
          <t>number</t>
        </is>
      </c>
      <c r="F189" s="76" t="inlineStr">
        <is>
          <t>— (default rule)</t>
        </is>
      </c>
      <c r="G189" s="83" t="inlineStr">
        <is>
          <t>Not in the table: costs 1, plus half its number (rounded down) when over 1</t>
        </is>
      </c>
      <c r="H189" s="84" t="n"/>
      <c r="I189" s="83" t="n"/>
      <c r="J189" s="76" t="n">
        <v>1</v>
      </c>
    </row>
    <row r="190">
      <c r="A190" s="76" t="inlineStr">
        <is>
          <t>dragonLightning</t>
        </is>
      </c>
      <c r="B190" s="76" t="inlineStr"/>
      <c r="C190" s="76" t="inlineStr">
        <is>
          <t>Dragon Lightning</t>
        </is>
      </c>
      <c r="D190" s="76" t="inlineStr">
        <is>
          <t>number</t>
        </is>
      </c>
      <c r="E190" s="76" t="inlineStr">
        <is>
          <t>number</t>
        </is>
      </c>
      <c r="F190" s="76" t="inlineStr">
        <is>
          <t>— (default rule)</t>
        </is>
      </c>
      <c r="G190" s="83" t="inlineStr">
        <is>
          <t>Not in the table: costs 1, plus half its number (rounded down) when over 1</t>
        </is>
      </c>
      <c r="H190" s="84" t="n"/>
      <c r="I190" s="83" t="n"/>
      <c r="J190" s="76" t="n">
        <v>1</v>
      </c>
    </row>
    <row r="191">
      <c r="A191" s="76" t="inlineStr">
        <is>
          <t>wither</t>
        </is>
      </c>
      <c r="B191" s="76" t="inlineStr"/>
      <c r="C191" s="76" t="inlineStr">
        <is>
          <t>Wither</t>
        </is>
      </c>
      <c r="D191" s="76" t="inlineStr">
        <is>
          <t>number</t>
        </is>
      </c>
      <c r="E191" s="76" t="inlineStr">
        <is>
          <t>number</t>
        </is>
      </c>
      <c r="F191" s="76" t="inlineStr">
        <is>
          <t>— (default rule)</t>
        </is>
      </c>
      <c r="G191" s="83" t="inlineStr">
        <is>
          <t>Not in the table: costs 1, plus half its number (rounded down) when over 1</t>
        </is>
      </c>
      <c r="H191" s="84" t="n"/>
      <c r="I191" s="83" t="n"/>
      <c r="J191" s="76" t="n">
        <v>1</v>
      </c>
    </row>
    <row r="192">
      <c r="A192" s="76" t="inlineStr">
        <is>
          <t>fencing</t>
        </is>
      </c>
      <c r="B192" s="76" t="inlineStr"/>
      <c r="C192" s="76" t="inlineStr">
        <is>
          <t>Fencing</t>
        </is>
      </c>
      <c r="D192" s="76" t="inlineStr">
        <is>
          <t>flag</t>
        </is>
      </c>
      <c r="E192" s="76" t="inlineStr">
        <is>
          <t>boolean</t>
        </is>
      </c>
      <c r="F192" s="76" t="inlineStr">
        <is>
          <t>— (default rule)</t>
        </is>
      </c>
      <c r="G192" s="83" t="inlineStr">
        <is>
          <t>Not in the table: costs 1</t>
        </is>
      </c>
      <c r="H192" s="84" t="n"/>
      <c r="I192" s="83" t="n"/>
      <c r="J192" s="76" t="n">
        <v>1</v>
      </c>
    </row>
    <row r="193">
      <c r="A193" s="76" t="inlineStr">
        <is>
          <t>fireball</t>
        </is>
      </c>
      <c r="B193" s="76" t="inlineStr"/>
      <c r="C193" s="76" t="inlineStr">
        <is>
          <t>Fireball</t>
        </is>
      </c>
      <c r="D193" s="76" t="inlineStr">
        <is>
          <t>trigger</t>
        </is>
      </c>
      <c r="E193" s="76" t="inlineStr">
        <is>
          <t>number</t>
        </is>
      </c>
      <c r="F193" s="76" t="inlineStr">
        <is>
          <t>— (default rule)</t>
        </is>
      </c>
      <c r="G193" s="83" t="inlineStr">
        <is>
          <t>Not in the table: costs 1, plus half its number (rounded down) when over 1</t>
        </is>
      </c>
      <c r="H193" s="84" t="n"/>
      <c r="I193" s="83" t="n"/>
      <c r="J193" s="76" t="n">
        <v>1</v>
      </c>
    </row>
    <row r="194">
      <c r="A194" s="76" t="inlineStr">
        <is>
          <t>meteor</t>
        </is>
      </c>
      <c r="B194" s="76" t="inlineStr"/>
      <c r="C194" s="76" t="inlineStr">
        <is>
          <t>Meteor</t>
        </is>
      </c>
      <c r="D194" s="76" t="inlineStr">
        <is>
          <t>trigger</t>
        </is>
      </c>
      <c r="E194" s="76" t="inlineStr">
        <is>
          <t>number</t>
        </is>
      </c>
      <c r="F194" s="76" t="inlineStr">
        <is>
          <t>— (default rule)</t>
        </is>
      </c>
      <c r="G194" s="83" t="inlineStr">
        <is>
          <t>Not in the table: costs 1, plus half its number (rounded down) when over 1</t>
        </is>
      </c>
      <c r="H194" s="84" t="n"/>
      <c r="I194" s="83" t="n"/>
      <c r="J194" s="76" t="n">
        <v>1</v>
      </c>
    </row>
    <row r="195">
      <c r="A195" s="76" t="inlineStr">
        <is>
          <t>banana</t>
        </is>
      </c>
      <c r="B195" s="76" t="inlineStr"/>
      <c r="C195" s="76" t="inlineStr">
        <is>
          <t>Banana</t>
        </is>
      </c>
      <c r="D195" s="76" t="inlineStr">
        <is>
          <t>trigger</t>
        </is>
      </c>
      <c r="E195" s="76" t="inlineStr">
        <is>
          <t>number</t>
        </is>
      </c>
      <c r="F195" s="76" t="inlineStr">
        <is>
          <t>— (default rule)</t>
        </is>
      </c>
      <c r="G195" s="83" t="inlineStr">
        <is>
          <t>Not in the table: costs 1, plus half its number (rounded down) when over 1</t>
        </is>
      </c>
      <c r="H195" s="84" t="n"/>
      <c r="I195" s="83" t="n"/>
      <c r="J195" s="76" t="n">
        <v>1</v>
      </c>
    </row>
    <row r="196">
      <c r="A196" s="76" t="inlineStr">
        <is>
          <t>bananarang</t>
        </is>
      </c>
      <c r="B196" s="76" t="inlineStr"/>
      <c r="C196" s="76" t="inlineStr">
        <is>
          <t>Bananarang</t>
        </is>
      </c>
      <c r="D196" s="76" t="inlineStr">
        <is>
          <t>trigger</t>
        </is>
      </c>
      <c r="E196" s="76" t="inlineStr">
        <is>
          <t>number</t>
        </is>
      </c>
      <c r="F196" s="76" t="inlineStr">
        <is>
          <t>— (default rule)</t>
        </is>
      </c>
      <c r="G196" s="83" t="inlineStr">
        <is>
          <t>Not in the table: costs 1, plus half its number (rounded down) when over 1</t>
        </is>
      </c>
      <c r="H196" s="84" t="n"/>
      <c r="I196" s="83" t="n"/>
      <c r="J196" s="76" t="n">
        <v>1</v>
      </c>
    </row>
    <row r="197">
      <c r="A197" s="76" t="inlineStr">
        <is>
          <t>durian</t>
        </is>
      </c>
      <c r="B197" s="76" t="inlineStr"/>
      <c r="C197" s="76" t="inlineStr">
        <is>
          <t>Durian</t>
        </is>
      </c>
      <c r="D197" s="76" t="inlineStr">
        <is>
          <t>number</t>
        </is>
      </c>
      <c r="E197" s="76" t="inlineStr">
        <is>
          <t>number</t>
        </is>
      </c>
      <c r="F197" s="76" t="inlineStr">
        <is>
          <t>— (default rule)</t>
        </is>
      </c>
      <c r="G197" s="83" t="inlineStr">
        <is>
          <t>Not in the table: costs 1, plus half its number (rounded down) when over 1</t>
        </is>
      </c>
      <c r="H197" s="84" t="n"/>
      <c r="I197" s="83" t="n"/>
      <c r="J197" s="76" t="n">
        <v>1</v>
      </c>
    </row>
    <row r="198">
      <c r="A198" s="76" t="inlineStr">
        <is>
          <t>shield</t>
        </is>
      </c>
      <c r="B198" s="76" t="inlineStr"/>
      <c r="C198" s="76" t="inlineStr">
        <is>
          <t>Shield</t>
        </is>
      </c>
      <c r="D198" s="76" t="inlineStr">
        <is>
          <t>number</t>
        </is>
      </c>
      <c r="E198" s="76" t="inlineStr">
        <is>
          <t>number</t>
        </is>
      </c>
      <c r="F198" s="76" t="inlineStr">
        <is>
          <t>— (default rule)</t>
        </is>
      </c>
      <c r="G198" s="83" t="inlineStr">
        <is>
          <t>Not in the table: costs 1, plus half its number (rounded down) when over 1</t>
        </is>
      </c>
      <c r="H198" s="84" t="n"/>
      <c r="I198" s="83" t="n"/>
      <c r="J198" s="76" t="n">
        <v>1</v>
      </c>
    </row>
    <row r="199">
      <c r="A199" s="76" t="inlineStr">
        <is>
          <t>electricity</t>
        </is>
      </c>
      <c r="B199" s="76" t="inlineStr"/>
      <c r="C199" s="76" t="inlineStr">
        <is>
          <t>Electricity</t>
        </is>
      </c>
      <c r="D199" s="76" t="inlineStr">
        <is>
          <t>number</t>
        </is>
      </c>
      <c r="E199" s="76" t="inlineStr">
        <is>
          <t>number</t>
        </is>
      </c>
      <c r="F199" s="76" t="inlineStr">
        <is>
          <t>— (default rule)</t>
        </is>
      </c>
      <c r="G199" s="83" t="inlineStr">
        <is>
          <t>Not in the table: costs 1, plus half its number (rounded down) when over 1</t>
        </is>
      </c>
      <c r="H199" s="84" t="n"/>
      <c r="I199" s="83" t="n"/>
      <c r="J199" s="76" t="n">
        <v>4</v>
      </c>
    </row>
    <row r="200">
      <c r="A200" s="76" t="inlineStr">
        <is>
          <t>keenSense</t>
        </is>
      </c>
      <c r="B200" s="76" t="inlineStr"/>
      <c r="C200" s="76" t="inlineStr">
        <is>
          <t>Keen Sense</t>
        </is>
      </c>
      <c r="D200" s="76" t="inlineStr">
        <is>
          <t>flag</t>
        </is>
      </c>
      <c r="E200" s="76" t="inlineStr">
        <is>
          <t>boolean</t>
        </is>
      </c>
      <c r="F200" s="76" t="inlineStr">
        <is>
          <t>— (default rule)</t>
        </is>
      </c>
      <c r="G200" s="83" t="inlineStr">
        <is>
          <t>Not in the table: costs 1</t>
        </is>
      </c>
      <c r="H200" s="84" t="n"/>
      <c r="I200" s="83" t="n"/>
      <c r="J200" s="76" t="n">
        <v>3</v>
      </c>
    </row>
    <row r="201">
      <c r="A201" s="76" t="inlineStr">
        <is>
          <t>psychic</t>
        </is>
      </c>
      <c r="B201" s="76" t="inlineStr"/>
      <c r="C201" s="76" t="inlineStr">
        <is>
          <t>Psychic</t>
        </is>
      </c>
      <c r="D201" s="76" t="inlineStr">
        <is>
          <t>number</t>
        </is>
      </c>
      <c r="E201" s="76" t="inlineStr">
        <is>
          <t>number</t>
        </is>
      </c>
      <c r="F201" s="76" t="inlineStr">
        <is>
          <t>— (default rule)</t>
        </is>
      </c>
      <c r="G201" s="83" t="inlineStr">
        <is>
          <t>Not in the table: costs 1, plus half its number (rounded down) when over 1</t>
        </is>
      </c>
      <c r="H201" s="84" t="n"/>
      <c r="I201" s="83" t="n"/>
      <c r="J201" s="76" t="n">
        <v>1</v>
      </c>
    </row>
    <row r="202">
      <c r="A202" s="76" t="inlineStr">
        <is>
          <t>bloodlust</t>
        </is>
      </c>
      <c r="B202" s="76" t="inlineStr"/>
      <c r="C202" s="76" t="inlineStr">
        <is>
          <t>Bloodlust</t>
        </is>
      </c>
      <c r="D202" s="76" t="inlineStr">
        <is>
          <t>trigger</t>
        </is>
      </c>
      <c r="E202" s="76" t="inlineStr">
        <is>
          <t>boolean</t>
        </is>
      </c>
      <c r="F202" s="76" t="inlineStr">
        <is>
          <t>— (default rule)</t>
        </is>
      </c>
      <c r="G202" s="83" t="inlineStr">
        <is>
          <t>Not in the table: costs 1, plus half its number (rounded down) when over 1</t>
        </is>
      </c>
      <c r="H202" s="84" t="n"/>
      <c r="I202" s="83" t="n"/>
      <c r="J202" s="76" t="n">
        <v>2</v>
      </c>
    </row>
    <row r="203">
      <c r="A203" s="76" t="inlineStr">
        <is>
          <t>chilli</t>
        </is>
      </c>
      <c r="B203" s="76" t="inlineStr"/>
      <c r="C203" s="76" t="inlineStr">
        <is>
          <t>Chilli</t>
        </is>
      </c>
      <c r="D203" s="76" t="inlineStr">
        <is>
          <t>trigger</t>
        </is>
      </c>
      <c r="E203" s="76" t="inlineStr">
        <is>
          <t>number</t>
        </is>
      </c>
      <c r="F203" s="76" t="inlineStr">
        <is>
          <t>— (default rule)</t>
        </is>
      </c>
      <c r="G203" s="83" t="inlineStr">
        <is>
          <t>Not in the table: costs 1, plus half its number (rounded down) when over 1</t>
        </is>
      </c>
      <c r="H203" s="84" t="n"/>
      <c r="I203" s="83" t="n"/>
      <c r="J203" s="76" t="n">
        <v>1</v>
      </c>
    </row>
    <row r="204">
      <c r="A204" s="76" t="inlineStr">
        <is>
          <t>smokeBomb</t>
        </is>
      </c>
      <c r="B204" s="76" t="inlineStr"/>
      <c r="C204" s="76" t="inlineStr">
        <is>
          <t>Smoke Bomb</t>
        </is>
      </c>
      <c r="D204" s="76" t="inlineStr">
        <is>
          <t>trigger</t>
        </is>
      </c>
      <c r="E204" s="76" t="inlineStr">
        <is>
          <t>boolean</t>
        </is>
      </c>
      <c r="F204" s="76" t="inlineStr">
        <is>
          <t>— (default rule)</t>
        </is>
      </c>
      <c r="G204" s="83" t="inlineStr">
        <is>
          <t>Not in the table: costs 1, plus half its number (rounded down) when over 1</t>
        </is>
      </c>
      <c r="H204" s="84" t="n"/>
      <c r="I204" s="83" t="n"/>
      <c r="J204" s="76" t="n">
        <v>1</v>
      </c>
    </row>
    <row r="205">
      <c r="A205" s="76" t="inlineStr">
        <is>
          <t>venomous</t>
        </is>
      </c>
      <c r="B205" s="76" t="inlineStr"/>
      <c r="C205" s="76" t="inlineStr">
        <is>
          <t>Venomous</t>
        </is>
      </c>
      <c r="D205" s="76" t="inlineStr">
        <is>
          <t>number</t>
        </is>
      </c>
      <c r="E205" s="76" t="inlineStr">
        <is>
          <t>number</t>
        </is>
      </c>
      <c r="F205" s="76" t="inlineStr">
        <is>
          <t>— (default rule)</t>
        </is>
      </c>
      <c r="G205" s="83" t="inlineStr">
        <is>
          <t>Not in the table: costs 1, plus half its number (rounded down) when over 1</t>
        </is>
      </c>
      <c r="H205" s="84" t="n"/>
      <c r="I205" s="83" t="n"/>
      <c r="J205" s="76" t="n">
        <v>1</v>
      </c>
    </row>
    <row r="206">
      <c r="A206" s="76" t="inlineStr">
        <is>
          <t>toxin</t>
        </is>
      </c>
      <c r="B206" s="76" t="inlineStr"/>
      <c r="C206" s="76" t="inlineStr">
        <is>
          <t>Toxin</t>
        </is>
      </c>
      <c r="D206" s="76" t="inlineStr">
        <is>
          <t>number</t>
        </is>
      </c>
      <c r="E206" s="76" t="inlineStr">
        <is>
          <t>number</t>
        </is>
      </c>
      <c r="F206" s="76" t="inlineStr">
        <is>
          <t>— (default rule)</t>
        </is>
      </c>
      <c r="G206" s="83" t="inlineStr">
        <is>
          <t>Not in the table: costs 1, plus half its number (rounded down) when over 1</t>
        </is>
      </c>
      <c r="H206" s="84" t="n"/>
      <c r="I206" s="83" t="n"/>
      <c r="J206" s="76" t="n">
        <v>1</v>
      </c>
    </row>
    <row r="207">
      <c r="A207" s="76" t="inlineStr">
        <is>
          <t>weaken</t>
        </is>
      </c>
      <c r="B207" s="76" t="inlineStr"/>
      <c r="C207" s="76" t="inlineStr">
        <is>
          <t>Weaken</t>
        </is>
      </c>
      <c r="D207" s="76" t="inlineStr">
        <is>
          <t>number</t>
        </is>
      </c>
      <c r="E207" s="76" t="inlineStr">
        <is>
          <t>number</t>
        </is>
      </c>
      <c r="F207" s="76" t="inlineStr">
        <is>
          <t>— (default rule)</t>
        </is>
      </c>
      <c r="G207" s="83" t="inlineStr">
        <is>
          <t>Not in the table: costs 1, plus half its number (rounded down) when over 1</t>
        </is>
      </c>
      <c r="H207" s="84" t="n"/>
      <c r="I207" s="83" t="n"/>
      <c r="J207" s="76" t="n">
        <v>1</v>
      </c>
    </row>
    <row r="208">
      <c r="A208" s="76" t="inlineStr">
        <is>
          <t>wilting</t>
        </is>
      </c>
      <c r="B208" s="76" t="inlineStr"/>
      <c r="C208" s="76" t="inlineStr">
        <is>
          <t>Wilting</t>
        </is>
      </c>
      <c r="D208" s="76" t="inlineStr">
        <is>
          <t>number</t>
        </is>
      </c>
      <c r="E208" s="76" t="inlineStr">
        <is>
          <t>number</t>
        </is>
      </c>
      <c r="F208" s="76" t="inlineStr">
        <is>
          <t>— (default rule)</t>
        </is>
      </c>
      <c r="G208" s="83" t="inlineStr">
        <is>
          <t>Not in the table: costs 1, plus half its number (rounded down) when over 1</t>
        </is>
      </c>
      <c r="H208" s="84" t="n"/>
      <c r="I208" s="83" t="n"/>
      <c r="J208" s="76" t="n">
        <v>1</v>
      </c>
    </row>
    <row r="209">
      <c r="A209" s="76" t="inlineStr">
        <is>
          <t>bulldoze</t>
        </is>
      </c>
      <c r="B209" s="76" t="inlineStr"/>
      <c r="C209" s="76" t="inlineStr">
        <is>
          <t>Bulldoze</t>
        </is>
      </c>
      <c r="D209" s="76" t="inlineStr">
        <is>
          <t>number</t>
        </is>
      </c>
      <c r="E209" s="76" t="inlineStr">
        <is>
          <t>number</t>
        </is>
      </c>
      <c r="F209" s="76" t="inlineStr">
        <is>
          <t>— (default rule)</t>
        </is>
      </c>
      <c r="G209" s="83" t="inlineStr">
        <is>
          <t>Not in the table: costs 1, plus half its number (rounded down) when over 1</t>
        </is>
      </c>
      <c r="H209" s="84" t="n"/>
      <c r="I209" s="83" t="n"/>
      <c r="J209" s="76" t="n">
        <v>1</v>
      </c>
    </row>
    <row r="210">
      <c r="A210" s="76" t="inlineStr">
        <is>
          <t>tangle</t>
        </is>
      </c>
      <c r="B210" s="76" t="inlineStr"/>
      <c r="C210" s="76" t="inlineStr">
        <is>
          <t>Tangleweed</t>
        </is>
      </c>
      <c r="D210" s="76" t="inlineStr">
        <is>
          <t>number</t>
        </is>
      </c>
      <c r="E210" s="76" t="inlineStr">
        <is>
          <t>number</t>
        </is>
      </c>
      <c r="F210" s="76" t="inlineStr">
        <is>
          <t>— (default rule)</t>
        </is>
      </c>
      <c r="G210" s="83" t="inlineStr">
        <is>
          <t>Not in the table: costs 1, plus half its number (rounded down) when over 1</t>
        </is>
      </c>
      <c r="H210" s="84" t="n"/>
      <c r="I210" s="83" t="n"/>
      <c r="J210" s="76" t="n">
        <v>1</v>
      </c>
    </row>
    <row r="211">
      <c r="A211" s="76" t="inlineStr">
        <is>
          <t>strangle</t>
        </is>
      </c>
      <c r="B211" s="76" t="inlineStr"/>
      <c r="C211" s="76" t="inlineStr">
        <is>
          <t>Strangle</t>
        </is>
      </c>
      <c r="D211" s="76" t="inlineStr">
        <is>
          <t>number</t>
        </is>
      </c>
      <c r="E211" s="76" t="inlineStr">
        <is>
          <t>number</t>
        </is>
      </c>
      <c r="F211" s="76" t="inlineStr">
        <is>
          <t>— (default rule)</t>
        </is>
      </c>
      <c r="G211" s="83" t="inlineStr">
        <is>
          <t>Not in the table: costs 1, plus half its number (rounded down) when over 1</t>
        </is>
      </c>
      <c r="H211" s="84" t="n"/>
      <c r="I211" s="83" t="n"/>
      <c r="J211" s="76" t="n">
        <v>1</v>
      </c>
    </row>
    <row r="212">
      <c r="A212" s="76" t="inlineStr">
        <is>
          <t>invincible</t>
        </is>
      </c>
      <c r="B212" s="76" t="inlineStr"/>
      <c r="C212" s="76" t="inlineStr">
        <is>
          <t>Invincible</t>
        </is>
      </c>
      <c r="D212" s="76" t="inlineStr">
        <is>
          <t>number</t>
        </is>
      </c>
      <c r="E212" s="76" t="inlineStr">
        <is>
          <t>number</t>
        </is>
      </c>
      <c r="F212" s="76" t="inlineStr">
        <is>
          <t>— (default rule)</t>
        </is>
      </c>
      <c r="G212" s="83" t="inlineStr">
        <is>
          <t>Not in the table: costs 1, plus half its number (rounded down) when over 1</t>
        </is>
      </c>
      <c r="H212" s="84" t="n"/>
      <c r="I212" s="83" t="n"/>
      <c r="J212" s="76" t="n">
        <v>1</v>
      </c>
    </row>
    <row r="213">
      <c r="A213" s="76" t="inlineStr">
        <is>
          <t>invisible</t>
        </is>
      </c>
      <c r="B213" s="76" t="inlineStr"/>
      <c r="C213" s="76" t="inlineStr">
        <is>
          <t>Invisible</t>
        </is>
      </c>
      <c r="D213" s="76" t="inlineStr">
        <is>
          <t>number</t>
        </is>
      </c>
      <c r="E213" s="76" t="inlineStr">
        <is>
          <t>number</t>
        </is>
      </c>
      <c r="F213" s="76" t="inlineStr">
        <is>
          <t>— (default rule)</t>
        </is>
      </c>
      <c r="G213" s="83" t="inlineStr">
        <is>
          <t>Not in the table: costs 1, plus half its number (rounded down) when over 1</t>
        </is>
      </c>
      <c r="H213" s="84" t="n"/>
      <c r="I213" s="83" t="n"/>
      <c r="J213" s="76" t="n">
        <v>1</v>
      </c>
    </row>
    <row r="214">
      <c r="A214" s="76" t="inlineStr">
        <is>
          <t>sonar</t>
        </is>
      </c>
      <c r="B214" s="76" t="inlineStr"/>
      <c r="C214" s="76" t="inlineStr">
        <is>
          <t>Sonar</t>
        </is>
      </c>
      <c r="D214" s="76" t="inlineStr">
        <is>
          <t>flag</t>
        </is>
      </c>
      <c r="E214" s="76" t="inlineStr">
        <is>
          <t>boolean</t>
        </is>
      </c>
      <c r="F214" s="76" t="inlineStr">
        <is>
          <t>— (default rule)</t>
        </is>
      </c>
      <c r="G214" s="83" t="inlineStr">
        <is>
          <t>Not in the table: costs 1</t>
        </is>
      </c>
      <c r="H214" s="84" t="n"/>
      <c r="I214" s="83" t="n"/>
      <c r="J214" s="76" t="n">
        <v>1</v>
      </c>
    </row>
    <row r="215">
      <c r="A215" s="76" t="inlineStr">
        <is>
          <t>poisonGas</t>
        </is>
      </c>
      <c r="B215" s="76" t="inlineStr"/>
      <c r="C215" s="76" t="inlineStr">
        <is>
          <t>Poison Gas</t>
        </is>
      </c>
      <c r="D215" s="76" t="inlineStr">
        <is>
          <t>trigger</t>
        </is>
      </c>
      <c r="E215" s="76" t="inlineStr">
        <is>
          <t>number</t>
        </is>
      </c>
      <c r="F215" s="76" t="inlineStr">
        <is>
          <t>— (default rule)</t>
        </is>
      </c>
      <c r="G215" s="83" t="inlineStr">
        <is>
          <t>Not in the table: costs 1, plus half its number (rounded down) when over 1</t>
        </is>
      </c>
      <c r="H215" s="84" t="n"/>
      <c r="I215" s="83" t="n"/>
      <c r="J215" s="76" t="n">
        <v>1</v>
      </c>
    </row>
    <row r="216">
      <c r="A216" s="76" t="inlineStr">
        <is>
          <t>absoluteZero</t>
        </is>
      </c>
      <c r="B216" s="76" t="inlineStr"/>
      <c r="C216" s="76" t="inlineStr">
        <is>
          <t>Absolute Zero</t>
        </is>
      </c>
      <c r="D216" s="76" t="inlineStr">
        <is>
          <t>trigger</t>
        </is>
      </c>
      <c r="E216" s="76" t="inlineStr">
        <is>
          <t>boolean</t>
        </is>
      </c>
      <c r="F216" s="76" t="inlineStr">
        <is>
          <t>— (default rule)</t>
        </is>
      </c>
      <c r="G216" s="83" t="inlineStr">
        <is>
          <t>Not in the table: costs 1, plus half its number (rounded down) when over 1</t>
        </is>
      </c>
      <c r="H216" s="84" t="n"/>
      <c r="I216" s="83" t="n"/>
      <c r="J216" s="76" t="n">
        <v>1</v>
      </c>
    </row>
    <row r="217">
      <c r="A217" s="76" t="inlineStr">
        <is>
          <t>spitfire</t>
        </is>
      </c>
      <c r="B217" s="76" t="inlineStr"/>
      <c r="C217" s="76" t="inlineStr">
        <is>
          <t>Spitfire</t>
        </is>
      </c>
      <c r="D217" s="76" t="inlineStr">
        <is>
          <t>trigger</t>
        </is>
      </c>
      <c r="E217" s="76" t="inlineStr">
        <is>
          <t>number</t>
        </is>
      </c>
      <c r="F217" s="76" t="inlineStr">
        <is>
          <t>— (default rule)</t>
        </is>
      </c>
      <c r="G217" s="83" t="inlineStr">
        <is>
          <t>Not in the table: costs 1, plus half its number (rounded down) when over 1</t>
        </is>
      </c>
      <c r="H217" s="84" t="n"/>
      <c r="I217" s="83" t="n"/>
      <c r="J217" s="76" t="n">
        <v>1</v>
      </c>
    </row>
    <row r="218">
      <c r="A218" s="76" t="inlineStr">
        <is>
          <t>slashBurn</t>
        </is>
      </c>
      <c r="B218" s="76" t="inlineStr"/>
      <c r="C218" s="76" t="inlineStr">
        <is>
          <t>Slash &amp; Burn</t>
        </is>
      </c>
      <c r="D218" s="76" t="inlineStr">
        <is>
          <t>trigger</t>
        </is>
      </c>
      <c r="E218" s="76" t="inlineStr">
        <is>
          <t>number</t>
        </is>
      </c>
      <c r="F218" s="76" t="inlineStr">
        <is>
          <t>— (default rule)</t>
        </is>
      </c>
      <c r="G218" s="83" t="inlineStr">
        <is>
          <t>Not in the table: costs 1, plus half its number (rounded down) when over 1</t>
        </is>
      </c>
      <c r="H218" s="84" t="n"/>
      <c r="I218" s="83" t="n"/>
      <c r="J218" s="76" t="n">
        <v>1</v>
      </c>
    </row>
    <row r="219">
      <c r="A219" s="76" t="inlineStr">
        <is>
          <t>penance</t>
        </is>
      </c>
      <c r="B219" s="76" t="inlineStr"/>
      <c r="C219" s="76" t="inlineStr">
        <is>
          <t>Penance</t>
        </is>
      </c>
      <c r="D219" s="76" t="inlineStr">
        <is>
          <t>trigger</t>
        </is>
      </c>
      <c r="E219" s="76" t="inlineStr">
        <is>
          <t>number</t>
        </is>
      </c>
      <c r="F219" s="76" t="inlineStr">
        <is>
          <t>-v</t>
        </is>
      </c>
      <c r="G219" s="83" t="inlineStr">
        <is>
          <t>Not in the table: costs 1, plus half its number (rounded down) when over 1</t>
        </is>
      </c>
      <c r="H219" s="84" t="n"/>
      <c r="I219" s="83" t="n"/>
      <c r="J219" s="76" t="n">
        <v>1</v>
      </c>
    </row>
    <row r="220">
      <c r="A220" s="76" t="inlineStr">
        <is>
          <t>bloodTithe</t>
        </is>
      </c>
      <c r="B220" s="76" t="inlineStr"/>
      <c r="C220" s="76" t="inlineStr">
        <is>
          <t>Blood Tithe</t>
        </is>
      </c>
      <c r="D220" s="76" t="inlineStr">
        <is>
          <t>trigger</t>
        </is>
      </c>
      <c r="E220" s="76" t="inlineStr">
        <is>
          <t>number</t>
        </is>
      </c>
      <c r="F220" s="76" t="inlineStr">
        <is>
          <t>-v</t>
        </is>
      </c>
      <c r="G220" s="83" t="inlineStr">
        <is>
          <t>Not in the table: costs 1, plus half its number (rounded down) when over 1</t>
        </is>
      </c>
      <c r="H220" s="84" t="n"/>
      <c r="I220" s="83" t="n"/>
      <c r="J220" s="76" t="n">
        <v>1</v>
      </c>
    </row>
    <row r="221">
      <c r="A221" s="76" t="inlineStr">
        <is>
          <t>trap</t>
        </is>
      </c>
      <c r="B221" s="76" t="inlineStr"/>
      <c r="C221" s="76" t="inlineStr">
        <is>
          <t>Trap</t>
        </is>
      </c>
      <c r="D221" s="76" t="inlineStr">
        <is>
          <t>trigger</t>
        </is>
      </c>
      <c r="E221" s="76" t="inlineStr">
        <is>
          <t>number</t>
        </is>
      </c>
      <c r="F221" s="76" t="inlineStr">
        <is>
          <t>— (default rule)</t>
        </is>
      </c>
      <c r="G221" s="83" t="inlineStr">
        <is>
          <t>Not in the table: costs 1, plus half its number (rounded down) when over 1</t>
        </is>
      </c>
      <c r="H221" s="84" t="n"/>
      <c r="I221" s="83" t="n"/>
      <c r="J221" s="76" t="n">
        <v>1</v>
      </c>
    </row>
    <row r="222">
      <c r="A222" s="76" t="inlineStr">
        <is>
          <t>predator</t>
        </is>
      </c>
      <c r="B222" s="76" t="inlineStr"/>
      <c r="C222" s="76" t="inlineStr">
        <is>
          <t>Predator</t>
        </is>
      </c>
      <c r="D222" s="76" t="inlineStr">
        <is>
          <t>number</t>
        </is>
      </c>
      <c r="E222" s="76" t="inlineStr">
        <is>
          <t>number</t>
        </is>
      </c>
      <c r="F222" s="76" t="inlineStr">
        <is>
          <t>— (default rule)</t>
        </is>
      </c>
      <c r="G222" s="83" t="inlineStr">
        <is>
          <t>Not in the table: costs 1, plus half its number (rounded down) when over 1</t>
        </is>
      </c>
      <c r="H222" s="84" t="n"/>
      <c r="I222" s="83" t="n"/>
      <c r="J222" s="76" t="n">
        <v>1</v>
      </c>
    </row>
    <row r="223">
      <c r="A223" s="76" t="inlineStr">
        <is>
          <t>prey</t>
        </is>
      </c>
      <c r="B223" s="76" t="inlineStr"/>
      <c r="C223" s="76" t="inlineStr">
        <is>
          <t>Prey</t>
        </is>
      </c>
      <c r="D223" s="76" t="inlineStr">
        <is>
          <t>flag</t>
        </is>
      </c>
      <c r="E223" s="76" t="inlineStr">
        <is>
          <t>boolean</t>
        </is>
      </c>
      <c r="F223" s="76" t="inlineStr">
        <is>
          <t>— (default rule)</t>
        </is>
      </c>
      <c r="G223" s="83" t="inlineStr">
        <is>
          <t>Not in the table: costs 1</t>
        </is>
      </c>
      <c r="H223" s="84" t="n"/>
      <c r="I223" s="83" t="n"/>
      <c r="J223" s="76" t="n">
        <v>1</v>
      </c>
    </row>
    <row r="224">
      <c r="A224" s="76" t="inlineStr">
        <is>
          <t>nova</t>
        </is>
      </c>
      <c r="B224" s="76" t="inlineStr"/>
      <c r="C224" s="76" t="inlineStr">
        <is>
          <t>Nova</t>
        </is>
      </c>
      <c r="D224" s="76" t="inlineStr">
        <is>
          <t>trigger</t>
        </is>
      </c>
      <c r="E224" s="76" t="inlineStr">
        <is>
          <t>number</t>
        </is>
      </c>
      <c r="F224" s="76" t="inlineStr">
        <is>
          <t>— (default rule)</t>
        </is>
      </c>
      <c r="G224" s="83" t="inlineStr">
        <is>
          <t>Not in the table: costs 1, plus half its number (rounded down) when over 1</t>
        </is>
      </c>
      <c r="H224" s="84" t="n"/>
      <c r="I224" s="83" t="n"/>
      <c r="J224" s="76" t="n">
        <v>1</v>
      </c>
    </row>
    <row r="225">
      <c r="A225" s="76" t="inlineStr">
        <is>
          <t>crystallise</t>
        </is>
      </c>
      <c r="B225" s="76" t="inlineStr"/>
      <c r="C225" s="76" t="inlineStr">
        <is>
          <t>Crystallise</t>
        </is>
      </c>
      <c r="D225" s="76" t="inlineStr">
        <is>
          <t>trigger</t>
        </is>
      </c>
      <c r="E225" s="76" t="inlineStr">
        <is>
          <t>number</t>
        </is>
      </c>
      <c r="F225" s="76" t="inlineStr">
        <is>
          <t>— (default rule)</t>
        </is>
      </c>
      <c r="G225" s="83" t="inlineStr">
        <is>
          <t>Not in the table: costs 1, plus half its number (rounded down) when over 1</t>
        </is>
      </c>
      <c r="H225" s="84" t="n"/>
      <c r="I225" s="83" t="n"/>
      <c r="J225" s="76" t="n">
        <v>1</v>
      </c>
    </row>
    <row r="226">
      <c r="A226" s="76" t="inlineStr">
        <is>
          <t>cure</t>
        </is>
      </c>
      <c r="B226" s="76" t="inlineStr"/>
      <c r="C226" s="76" t="inlineStr">
        <is>
          <t>Cure</t>
        </is>
      </c>
      <c r="D226" s="76" t="inlineStr">
        <is>
          <t>trigger</t>
        </is>
      </c>
      <c r="E226" s="76" t="inlineStr">
        <is>
          <t>number</t>
        </is>
      </c>
      <c r="F226" s="76" t="inlineStr">
        <is>
          <t>— (default rule)</t>
        </is>
      </c>
      <c r="G226" s="83" t="inlineStr">
        <is>
          <t>Not in the table: costs 1, plus half its number (rounded down) when over 1</t>
        </is>
      </c>
      <c r="H226" s="84" t="n"/>
      <c r="I226" s="83" t="n"/>
      <c r="J226" s="76" t="n">
        <v>1</v>
      </c>
    </row>
    <row r="227">
      <c r="A227" s="76" t="inlineStr">
        <is>
          <t>mountainClimber</t>
        </is>
      </c>
      <c r="B227" s="76" t="inlineStr"/>
      <c r="C227" s="76" t="inlineStr">
        <is>
          <t>Mountain Climber</t>
        </is>
      </c>
      <c r="D227" s="76" t="inlineStr">
        <is>
          <t>flag</t>
        </is>
      </c>
      <c r="E227" s="76" t="inlineStr">
        <is>
          <t>boolean</t>
        </is>
      </c>
      <c r="F227" s="76" t="inlineStr">
        <is>
          <t>— (default rule)</t>
        </is>
      </c>
      <c r="G227" s="83" t="inlineStr">
        <is>
          <t>Not in the table: costs 1</t>
        </is>
      </c>
      <c r="H227" s="84" t="n"/>
      <c r="I227" s="83" t="n"/>
      <c r="J227" s="76" t="n">
        <v>3</v>
      </c>
    </row>
    <row r="228">
      <c r="A228" s="76" t="inlineStr">
        <is>
          <t>atheist</t>
        </is>
      </c>
      <c r="B228" s="76" t="inlineStr"/>
      <c r="C228" s="76" t="inlineStr">
        <is>
          <t>Atheist</t>
        </is>
      </c>
      <c r="D228" s="76" t="inlineStr">
        <is>
          <t>flag</t>
        </is>
      </c>
      <c r="E228" s="76" t="inlineStr">
        <is>
          <t>boolean</t>
        </is>
      </c>
      <c r="F228" s="76" t="inlineStr">
        <is>
          <t>— (default rule)</t>
        </is>
      </c>
      <c r="G228" s="83" t="inlineStr">
        <is>
          <t>Not in the table: costs 1</t>
        </is>
      </c>
      <c r="H228" s="84" t="n"/>
      <c r="I228" s="83" t="n"/>
      <c r="J228" s="76" t="n">
        <v>0</v>
      </c>
    </row>
    <row r="229">
      <c r="A229" s="76" t="inlineStr">
        <is>
          <t>taunt</t>
        </is>
      </c>
      <c r="B229" s="76" t="inlineStr"/>
      <c r="C229" s="76" t="inlineStr">
        <is>
          <t>Taunt</t>
        </is>
      </c>
      <c r="D229" s="76" t="inlineStr">
        <is>
          <t>flag</t>
        </is>
      </c>
      <c r="E229" s="76" t="inlineStr">
        <is>
          <t>boolean</t>
        </is>
      </c>
      <c r="F229" s="76" t="inlineStr">
        <is>
          <t>— (default rule)</t>
        </is>
      </c>
      <c r="G229" s="83" t="inlineStr">
        <is>
          <t>Not in the table: costs 1</t>
        </is>
      </c>
      <c r="H229" s="84" t="n"/>
      <c r="I229" s="83" t="n"/>
      <c r="J229" s="76" t="n">
        <v>2</v>
      </c>
    </row>
    <row r="230">
      <c r="A230" s="76" t="inlineStr">
        <is>
          <t>amore</t>
        </is>
      </c>
      <c r="B230" s="76" t="inlineStr"/>
      <c r="C230" s="76" t="inlineStr">
        <is>
          <t>Amore</t>
        </is>
      </c>
      <c r="D230" s="76" t="inlineStr">
        <is>
          <t>flag</t>
        </is>
      </c>
      <c r="E230" s="76" t="inlineStr">
        <is>
          <t>boolean</t>
        </is>
      </c>
      <c r="F230" s="76" t="inlineStr">
        <is>
          <t>— (default rule)</t>
        </is>
      </c>
      <c r="G230" s="83" t="inlineStr">
        <is>
          <t>Not in the table: costs 1</t>
        </is>
      </c>
      <c r="H230" s="84" t="n"/>
      <c r="I230" s="83" t="n"/>
      <c r="J230" s="76" t="n">
        <v>1</v>
      </c>
    </row>
    <row r="231">
      <c r="A231" s="76" t="inlineStr">
        <is>
          <t>sap</t>
        </is>
      </c>
      <c r="B231" s="76" t="inlineStr">
        <is>
          <t>🧛</t>
        </is>
      </c>
      <c r="C231" s="76" t="inlineStr">
        <is>
          <t>Leech</t>
        </is>
      </c>
      <c r="D231" s="76" t="inlineStr">
        <is>
          <t>flag</t>
        </is>
      </c>
      <c r="E231" s="76" t="inlineStr">
        <is>
          <t>boolean</t>
        </is>
      </c>
      <c r="F231" s="76" t="inlineStr">
        <is>
          <t>— (default rule)</t>
        </is>
      </c>
      <c r="G231" s="83" t="inlineStr">
        <is>
          <t>Not in the table: costs 1</t>
        </is>
      </c>
      <c r="H231" s="84" t="n"/>
      <c r="I231" s="83" t="n"/>
      <c r="J231" s="76" t="n">
        <v>2</v>
      </c>
    </row>
    <row r="232">
      <c r="A232" s="76" t="inlineStr">
        <is>
          <t>vanguard</t>
        </is>
      </c>
      <c r="B232" s="76" t="inlineStr"/>
      <c r="C232" s="76" t="inlineStr">
        <is>
          <t>Vanguard</t>
        </is>
      </c>
      <c r="D232" s="76" t="inlineStr">
        <is>
          <t>number</t>
        </is>
      </c>
      <c r="E232" s="76" t="inlineStr">
        <is>
          <t>number</t>
        </is>
      </c>
      <c r="F232" s="76" t="inlineStr">
        <is>
          <t>— (default rule)</t>
        </is>
      </c>
      <c r="G232" s="83" t="inlineStr">
        <is>
          <t>Not in the table: costs 1, plus half its number (rounded down) when over 1</t>
        </is>
      </c>
      <c r="H232" s="84" t="n"/>
      <c r="I232" s="83" t="n"/>
      <c r="J232" s="76" t="n">
        <v>3</v>
      </c>
    </row>
    <row r="233">
      <c r="A233" s="76" t="inlineStr">
        <is>
          <t>web</t>
        </is>
      </c>
      <c r="B233" s="76" t="inlineStr"/>
      <c r="C233" s="76" t="inlineStr">
        <is>
          <t>Web</t>
        </is>
      </c>
      <c r="D233" s="76" t="inlineStr">
        <is>
          <t>number</t>
        </is>
      </c>
      <c r="E233" s="76" t="inlineStr">
        <is>
          <t>number</t>
        </is>
      </c>
      <c r="F233" s="76" t="inlineStr">
        <is>
          <t>— (default rule)</t>
        </is>
      </c>
      <c r="G233" s="83" t="inlineStr">
        <is>
          <t>Not in the table: costs 1, plus half its number (rounded down) when over 1</t>
        </is>
      </c>
      <c r="H233" s="84" t="n"/>
      <c r="I233" s="83" t="n"/>
      <c r="J233" s="76" t="n">
        <v>1</v>
      </c>
    </row>
    <row r="234">
      <c r="A234" s="76" t="inlineStr">
        <is>
          <t>sentry</t>
        </is>
      </c>
      <c r="B234" s="76" t="inlineStr"/>
      <c r="C234" s="76" t="inlineStr">
        <is>
          <t>Sentry</t>
        </is>
      </c>
      <c r="D234" s="76" t="inlineStr">
        <is>
          <t>flag</t>
        </is>
      </c>
      <c r="E234" s="76" t="inlineStr">
        <is>
          <t>boolean</t>
        </is>
      </c>
      <c r="F234" s="76" t="inlineStr">
        <is>
          <t>— (default rule)</t>
        </is>
      </c>
      <c r="G234" s="83" t="inlineStr">
        <is>
          <t>Not in the table: costs 1</t>
        </is>
      </c>
      <c r="H234" s="84" t="n"/>
      <c r="I234" s="83" t="n"/>
      <c r="J234" s="76" t="n">
        <v>2</v>
      </c>
    </row>
    <row r="235">
      <c r="A235" s="76" t="inlineStr">
        <is>
          <t>carrion</t>
        </is>
      </c>
      <c r="B235" s="76" t="inlineStr"/>
      <c r="C235" s="76" t="inlineStr">
        <is>
          <t>Carrion</t>
        </is>
      </c>
      <c r="D235" s="76" t="inlineStr">
        <is>
          <t>number</t>
        </is>
      </c>
      <c r="E235" s="76" t="inlineStr">
        <is>
          <t>number</t>
        </is>
      </c>
      <c r="F235" s="76" t="inlineStr">
        <is>
          <t>— (default rule)</t>
        </is>
      </c>
      <c r="G235" s="83" t="inlineStr">
        <is>
          <t>Not in the table: costs 1, plus half its number (rounded down) when over 1</t>
        </is>
      </c>
      <c r="H235" s="84" t="n"/>
      <c r="I235" s="83" t="n"/>
      <c r="J235" s="76" t="n">
        <v>1</v>
      </c>
    </row>
    <row r="236">
      <c r="A236" s="76" t="inlineStr">
        <is>
          <t>hoard</t>
        </is>
      </c>
      <c r="B236" s="76" t="inlineStr"/>
      <c r="C236" s="76" t="inlineStr">
        <is>
          <t>Hoard</t>
        </is>
      </c>
      <c r="D236" s="76" t="inlineStr">
        <is>
          <t>number</t>
        </is>
      </c>
      <c r="E236" s="76" t="inlineStr">
        <is>
          <t>number</t>
        </is>
      </c>
      <c r="F236" s="76" t="inlineStr">
        <is>
          <t>— (default rule)</t>
        </is>
      </c>
      <c r="G236" s="83" t="inlineStr">
        <is>
          <t>Not in the table: costs 1, plus half its number (rounded down) when over 1</t>
        </is>
      </c>
      <c r="H236" s="84" t="n"/>
      <c r="I236" s="83" t="n"/>
      <c r="J236" s="76" t="n">
        <v>2</v>
      </c>
    </row>
    <row r="237">
      <c r="A237" s="76" t="inlineStr">
        <is>
          <t>venomMaster</t>
        </is>
      </c>
      <c r="B237" s="76" t="inlineStr"/>
      <c r="C237" s="76" t="inlineStr">
        <is>
          <t>Venom Master</t>
        </is>
      </c>
      <c r="D237" s="76" t="inlineStr">
        <is>
          <t>number</t>
        </is>
      </c>
      <c r="E237" s="76" t="inlineStr">
        <is>
          <t>number</t>
        </is>
      </c>
      <c r="F237" s="76" t="inlineStr">
        <is>
          <t>— (default rule)</t>
        </is>
      </c>
      <c r="G237" s="83" t="inlineStr">
        <is>
          <t>Not in the table: costs 1, plus half its number (rounded down) when over 1</t>
        </is>
      </c>
      <c r="H237" s="84" t="n"/>
      <c r="I237" s="83" t="n"/>
      <c r="J237" s="76" t="n">
        <v>1</v>
      </c>
    </row>
    <row r="238">
      <c r="A238" s="76" t="inlineStr">
        <is>
          <t>fletcher</t>
        </is>
      </c>
      <c r="B238" s="76" t="inlineStr"/>
      <c r="C238" s="76" t="inlineStr">
        <is>
          <t>Fletcher</t>
        </is>
      </c>
      <c r="D238" s="76" t="inlineStr">
        <is>
          <t>number</t>
        </is>
      </c>
      <c r="E238" s="76" t="inlineStr">
        <is>
          <t>number</t>
        </is>
      </c>
      <c r="F238" s="76" t="inlineStr">
        <is>
          <t>— (default rule)</t>
        </is>
      </c>
      <c r="G238" s="83" t="inlineStr">
        <is>
          <t>Not in the table: costs 1, plus half its number (rounded down) when over 1</t>
        </is>
      </c>
      <c r="H238" s="84" t="n"/>
      <c r="I238" s="83" t="n"/>
      <c r="J238" s="76" t="n">
        <v>1</v>
      </c>
    </row>
    <row r="239">
      <c r="A239" s="76" t="inlineStr">
        <is>
          <t>herbalist</t>
        </is>
      </c>
      <c r="B239" s="76" t="inlineStr"/>
      <c r="C239" s="76" t="inlineStr">
        <is>
          <t>Herbalist</t>
        </is>
      </c>
      <c r="D239" s="76" t="inlineStr">
        <is>
          <t>number</t>
        </is>
      </c>
      <c r="E239" s="76" t="inlineStr">
        <is>
          <t>number</t>
        </is>
      </c>
      <c r="F239" s="76" t="inlineStr">
        <is>
          <t>— (default rule)</t>
        </is>
      </c>
      <c r="G239" s="83" t="inlineStr">
        <is>
          <t>Not in the table: costs 1, plus half its number (rounded down) when over 1</t>
        </is>
      </c>
      <c r="H239" s="84" t="n"/>
      <c r="I239" s="83" t="n"/>
      <c r="J239" s="76" t="n">
        <v>1</v>
      </c>
    </row>
    <row r="240">
      <c r="A240" s="76" t="inlineStr">
        <is>
          <t>shatter</t>
        </is>
      </c>
      <c r="B240" s="76" t="inlineStr"/>
      <c r="C240" s="76" t="inlineStr">
        <is>
          <t>Shatter</t>
        </is>
      </c>
      <c r="D240" s="76" t="inlineStr">
        <is>
          <t>number</t>
        </is>
      </c>
      <c r="E240" s="76" t="inlineStr">
        <is>
          <t>number</t>
        </is>
      </c>
      <c r="F240" s="76" t="inlineStr">
        <is>
          <t>— (default rule)</t>
        </is>
      </c>
      <c r="G240" s="83" t="inlineStr">
        <is>
          <t>Not in the table: costs 1, plus half its number (rounded down) when over 1</t>
        </is>
      </c>
      <c r="H240" s="84" t="n"/>
      <c r="I240" s="83" t="n"/>
      <c r="J240" s="76" t="n">
        <v>1</v>
      </c>
    </row>
    <row r="241">
      <c r="A241" s="76" t="inlineStr">
        <is>
          <t>explode</t>
        </is>
      </c>
      <c r="B241" s="76" t="inlineStr"/>
      <c r="C241" s="76" t="inlineStr">
        <is>
          <t>Explode</t>
        </is>
      </c>
      <c r="D241" s="76" t="inlineStr">
        <is>
          <t>trigger</t>
        </is>
      </c>
      <c r="E241" s="76" t="inlineStr">
        <is>
          <t>twoNumber</t>
        </is>
      </c>
      <c r="F241" s="76" t="inlineStr">
        <is>
          <t>— (default rule)</t>
        </is>
      </c>
      <c r="G241" s="83" t="inlineStr">
        <is>
          <t>Not in the table: costs 1, plus half its number (rounded down) when over 1</t>
        </is>
      </c>
      <c r="H241" s="84" t="n"/>
      <c r="I241" s="83" t="n"/>
      <c r="J241" s="76" t="n">
        <v>3</v>
      </c>
    </row>
    <row r="242">
      <c r="A242" s="76" t="inlineStr">
        <is>
          <t>freeze</t>
        </is>
      </c>
      <c r="B242" s="76" t="inlineStr">
        <is>
          <t>❄</t>
        </is>
      </c>
      <c r="C242" s="76" t="inlineStr">
        <is>
          <t>Freeze</t>
        </is>
      </c>
      <c r="D242" s="76" t="inlineStr">
        <is>
          <t>number</t>
        </is>
      </c>
      <c r="E242" s="76" t="inlineStr">
        <is>
          <t>twoNumber</t>
        </is>
      </c>
      <c r="F242" s="76" t="inlineStr">
        <is>
          <t>— (default rule)</t>
        </is>
      </c>
      <c r="G242" s="83" t="inlineStr">
        <is>
          <t>Not in the table: costs 1, plus half its number (rounded down) when over 1</t>
        </is>
      </c>
      <c r="H242" s="84" t="n"/>
      <c r="I242" s="83" t="n"/>
      <c r="J242" s="76" t="n">
        <v>5</v>
      </c>
    </row>
    <row r="243">
      <c r="A243" s="76" t="inlineStr">
        <is>
          <t>sleep</t>
        </is>
      </c>
      <c r="B243" s="76" t="inlineStr"/>
      <c r="C243" s="76" t="inlineStr">
        <is>
          <t>Sleep</t>
        </is>
      </c>
      <c r="D243" s="76" t="inlineStr">
        <is>
          <t>number</t>
        </is>
      </c>
      <c r="E243" s="76" t="inlineStr">
        <is>
          <t>twoNumber</t>
        </is>
      </c>
      <c r="F243" s="76" t="inlineStr">
        <is>
          <t>— (default rule)</t>
        </is>
      </c>
      <c r="G243" s="83" t="inlineStr">
        <is>
          <t>Not in the table: costs 1, plus half its number (rounded down) when over 1</t>
        </is>
      </c>
      <c r="H243" s="84" t="n"/>
      <c r="I243" s="83" t="n"/>
      <c r="J243" s="76" t="n">
        <v>2</v>
      </c>
    </row>
    <row r="244">
      <c r="A244" s="76" t="inlineStr">
        <is>
          <t>paralyze</t>
        </is>
      </c>
      <c r="B244" s="76" t="inlineStr"/>
      <c r="C244" s="76" t="inlineStr">
        <is>
          <t>Paralyze</t>
        </is>
      </c>
      <c r="D244" s="76" t="inlineStr">
        <is>
          <t>trigger</t>
        </is>
      </c>
      <c r="E244" s="76" t="inlineStr">
        <is>
          <t>twoNumber</t>
        </is>
      </c>
      <c r="F244" s="76" t="inlineStr">
        <is>
          <t>— (default rule)</t>
        </is>
      </c>
      <c r="G244" s="83" t="inlineStr">
        <is>
          <t>Not in the table: costs 1, plus half its number (rounded down) when over 1</t>
        </is>
      </c>
      <c r="H244" s="84" t="n"/>
      <c r="I244" s="83" t="n"/>
      <c r="J244" s="76" t="n">
        <v>2</v>
      </c>
    </row>
    <row r="245">
      <c r="A245" s="76" t="inlineStr">
        <is>
          <t>blind</t>
        </is>
      </c>
      <c r="B245" s="76" t="inlineStr"/>
      <c r="C245" s="76" t="inlineStr">
        <is>
          <t>Blind</t>
        </is>
      </c>
      <c r="D245" s="76" t="inlineStr">
        <is>
          <t>number</t>
        </is>
      </c>
      <c r="E245" s="76" t="inlineStr">
        <is>
          <t>twoNumber</t>
        </is>
      </c>
      <c r="F245" s="76" t="n">
        <v>0</v>
      </c>
      <c r="G245" s="83" t="inlineStr">
        <is>
          <t>Costs 0: instead the card's whole score is ×1.5 (attacks miss it, or by it, about half the time)</t>
        </is>
      </c>
      <c r="H245" s="84" t="n"/>
      <c r="I245" s="83" t="n"/>
      <c r="J245" s="76" t="n">
        <v>2</v>
      </c>
    </row>
    <row r="246">
      <c r="A246" s="76" t="inlineStr">
        <is>
          <t>tipsy</t>
        </is>
      </c>
      <c r="B246" s="76" t="inlineStr">
        <is>
          <t>🍺</t>
        </is>
      </c>
      <c r="C246" s="76" t="inlineStr">
        <is>
          <t>Make Tipsy</t>
        </is>
      </c>
      <c r="D246" s="76" t="inlineStr">
        <is>
          <t>number</t>
        </is>
      </c>
      <c r="E246" s="76" t="inlineStr">
        <is>
          <t>twoNumber</t>
        </is>
      </c>
      <c r="F246" s="76" t="inlineStr">
        <is>
          <t>— (default rule)</t>
        </is>
      </c>
      <c r="G246" s="83" t="inlineStr">
        <is>
          <t>Not in the table: costs 1, plus half its number (rounded down) when over 1</t>
        </is>
      </c>
      <c r="H246" s="84" t="n"/>
      <c r="I246" s="83" t="n"/>
      <c r="J246" s="76" t="n">
        <v>1</v>
      </c>
    </row>
    <row r="247">
      <c r="A247" s="76" t="inlineStr">
        <is>
          <t>confuse</t>
        </is>
      </c>
      <c r="B247" s="76" t="inlineStr">
        <is>
          <t>❓</t>
        </is>
      </c>
      <c r="C247" s="76" t="inlineStr">
        <is>
          <t>Confuse</t>
        </is>
      </c>
      <c r="D247" s="76" t="inlineStr">
        <is>
          <t>number</t>
        </is>
      </c>
      <c r="E247" s="76" t="inlineStr">
        <is>
          <t>twoNumber</t>
        </is>
      </c>
      <c r="F247" s="76" t="inlineStr">
        <is>
          <t>— (default rule)</t>
        </is>
      </c>
      <c r="G247" s="83" t="inlineStr">
        <is>
          <t>Not in the table: costs 1, plus half its number (rounded down) when over 1</t>
        </is>
      </c>
      <c r="H247" s="84" t="n"/>
      <c r="I247" s="83" t="n"/>
      <c r="J247" s="76" t="n">
        <v>1</v>
      </c>
    </row>
    <row r="248">
      <c r="A248" s="76" t="inlineStr">
        <is>
          <t>shock</t>
        </is>
      </c>
      <c r="B248" s="76" t="inlineStr">
        <is>
          <t>🔌</t>
        </is>
      </c>
      <c r="C248" s="76" t="inlineStr">
        <is>
          <t>Shock</t>
        </is>
      </c>
      <c r="D248" s="76" t="inlineStr">
        <is>
          <t>number</t>
        </is>
      </c>
      <c r="E248" s="76" t="inlineStr">
        <is>
          <t>twoNumber</t>
        </is>
      </c>
      <c r="F248" s="76" t="inlineStr">
        <is>
          <t>— (default rule)</t>
        </is>
      </c>
      <c r="G248" s="83" t="inlineStr">
        <is>
          <t>Not in the table: costs 1, plus half its number (rounded down) when over 1</t>
        </is>
      </c>
      <c r="H248" s="84" t="n"/>
      <c r="I248" s="83" t="n"/>
      <c r="J248" s="76" t="n">
        <v>3</v>
      </c>
    </row>
    <row r="249">
      <c r="A249" s="76" t="inlineStr">
        <is>
          <t>stagger</t>
        </is>
      </c>
      <c r="B249" s="76" t="inlineStr"/>
      <c r="C249" s="76" t="inlineStr">
        <is>
          <t>Stagger</t>
        </is>
      </c>
      <c r="D249" s="76" t="inlineStr">
        <is>
          <t>number</t>
        </is>
      </c>
      <c r="E249" s="76" t="inlineStr">
        <is>
          <t>twoNumber</t>
        </is>
      </c>
      <c r="F249" s="76" t="inlineStr">
        <is>
          <t>— (default rule)</t>
        </is>
      </c>
      <c r="G249" s="83" t="inlineStr">
        <is>
          <t>Not in the table: costs 1, plus half its number (rounded down) when over 1</t>
        </is>
      </c>
      <c r="H249" s="84" t="n"/>
      <c r="I249" s="83" t="n"/>
      <c r="J249" s="76" t="n">
        <v>2</v>
      </c>
    </row>
    <row r="250">
      <c r="A250" s="76" t="inlineStr">
        <is>
          <t>chained</t>
        </is>
      </c>
      <c r="B250" s="76" t="inlineStr"/>
      <c r="C250" s="76" t="inlineStr">
        <is>
          <t>Chained</t>
        </is>
      </c>
      <c r="D250" s="76" t="inlineStr">
        <is>
          <t>number</t>
        </is>
      </c>
      <c r="E250" s="76" t="inlineStr">
        <is>
          <t>selectNumber</t>
        </is>
      </c>
      <c r="F250" s="76" t="inlineStr">
        <is>
          <t>— (default rule)</t>
        </is>
      </c>
      <c r="G250" s="83" t="inlineStr">
        <is>
          <t>Not in the table: costs 1, plus half its number (rounded down) when over 1</t>
        </is>
      </c>
      <c r="H250" s="84" t="n"/>
      <c r="I250" s="83" t="n"/>
      <c r="J250" s="76" t="n">
        <v>2</v>
      </c>
    </row>
    <row r="251">
      <c r="A251" s="76" t="inlineStr">
        <is>
          <t>render</t>
        </is>
      </c>
      <c r="B251" s="76" t="inlineStr">
        <is>
          <t>📉</t>
        </is>
      </c>
      <c r="C251" s="76" t="inlineStr">
        <is>
          <t>Render</t>
        </is>
      </c>
      <c r="D251" s="76" t="inlineStr">
        <is>
          <t>trigger</t>
        </is>
      </c>
      <c r="E251" s="76" t="inlineStr">
        <is>
          <t>number</t>
        </is>
      </c>
      <c r="F251" s="76" t="inlineStr">
        <is>
          <t>— (default rule)</t>
        </is>
      </c>
      <c r="G251" s="83" t="inlineStr">
        <is>
          <t>Not in the table: costs 1, plus half its number (rounded down) when over 1</t>
        </is>
      </c>
      <c r="H251" s="84" t="n"/>
      <c r="I251" s="83" t="n"/>
      <c r="J251" s="76" t="n">
        <v>3</v>
      </c>
    </row>
    <row r="252">
      <c r="A252" s="76" t="inlineStr">
        <is>
          <t>revive</t>
        </is>
      </c>
      <c r="B252" s="76" t="inlineStr">
        <is>
          <t>↺</t>
        </is>
      </c>
      <c r="C252" s="76" t="inlineStr">
        <is>
          <t>Revive</t>
        </is>
      </c>
      <c r="D252" s="76" t="inlineStr">
        <is>
          <t>flag</t>
        </is>
      </c>
      <c r="E252" s="76" t="inlineStr">
        <is>
          <t>boolean</t>
        </is>
      </c>
      <c r="F252" s="76" t="inlineStr">
        <is>
          <t>— (default rule)</t>
        </is>
      </c>
      <c r="G252" s="83" t="inlineStr">
        <is>
          <t>Not in the table: costs 1</t>
        </is>
      </c>
      <c r="H252" s="84" t="n"/>
      <c r="I252" s="83" t="n"/>
      <c r="J252" s="76" t="n">
        <v>4</v>
      </c>
    </row>
    <row r="253">
      <c r="A253" s="76" t="inlineStr">
        <is>
          <t>onDeathSpawn</t>
        </is>
      </c>
      <c r="B253" s="76" t="inlineStr"/>
      <c r="C253" s="76" t="inlineStr">
        <is>
          <t>Progeny</t>
        </is>
      </c>
      <c r="D253" s="76" t="inlineStr">
        <is>
          <t>trigger</t>
        </is>
      </c>
      <c r="E253" s="76" t="inlineStr">
        <is>
          <t>cardCount</t>
        </is>
      </c>
      <c r="F253" s="76" t="inlineStr">
        <is>
          <t>— (default rule)</t>
        </is>
      </c>
      <c r="G253" s="83" t="inlineStr">
        <is>
          <t>Not in the table: costs 1, plus half its number (rounded down) when over 1</t>
        </is>
      </c>
      <c r="H253" s="84" t="n"/>
      <c r="I253" s="83" t="n"/>
      <c r="J253" s="76" t="n">
        <v>6</v>
      </c>
    </row>
    <row r="254">
      <c r="A254" s="76" t="inlineStr">
        <is>
          <t>bounty</t>
        </is>
      </c>
      <c r="B254" s="76" t="inlineStr"/>
      <c r="C254" s="76" t="inlineStr">
        <is>
          <t>bounty</t>
        </is>
      </c>
      <c r="D254" s="76" t="inlineStr">
        <is>
          <t>number</t>
        </is>
      </c>
      <c r="E254" s="76" t="inlineStr">
        <is>
          <t>number</t>
        </is>
      </c>
      <c r="F254" s="76" t="n">
        <v>0</v>
      </c>
      <c r="G254" s="83" t="inlineStr">
        <is>
          <t>Costs 0: Bounty pays both players (the one who plays it, and the other side when it dies)</t>
        </is>
      </c>
      <c r="H254" s="84" t="n"/>
      <c r="I254" s="83" t="inlineStr">
        <is>
          <t>Only in the budget table (no skill of this name in the editor list).</t>
        </is>
      </c>
      <c r="J254" s="76" t="n">
        <v>85</v>
      </c>
    </row>
    <row r="255">
      <c r="A255" s="76" t="inlineStr">
        <is>
          <t>heal</t>
        </is>
      </c>
      <c r="B255" s="76" t="inlineStr"/>
      <c r="C255" s="76" t="inlineStr">
        <is>
          <t>heal</t>
        </is>
      </c>
      <c r="D255" s="76" t="inlineStr">
        <is>
          <t>number</t>
        </is>
      </c>
      <c r="E255" s="76" t="inlineStr">
        <is>
          <t>number</t>
        </is>
      </c>
      <c r="F255" s="76" t="inlineStr">
        <is>
          <t>v</t>
        </is>
      </c>
      <c r="G255" s="83" t="inlineStr">
        <is>
          <t>By its number: heal 2 costs 2 (at least 1; two-number values add up)</t>
        </is>
      </c>
      <c r="H255" s="84" t="n"/>
      <c r="I255" s="83" t="inlineStr">
        <is>
          <t>Only in the budget table (no skill of this name in the editor list).</t>
        </is>
      </c>
      <c r="J255" s="76" t="n">
        <v>0</v>
      </c>
    </row>
    <row r="256">
      <c r="A256" s="76" t="inlineStr">
        <is>
          <t>arrows</t>
        </is>
      </c>
      <c r="B256" s="76" t="inlineStr"/>
      <c r="C256" s="76" t="inlineStr">
        <is>
          <t>arrows</t>
        </is>
      </c>
      <c r="D256" s="76" t="inlineStr">
        <is>
          <t>number</t>
        </is>
      </c>
      <c r="E256" s="76" t="inlineStr">
        <is>
          <t>number</t>
        </is>
      </c>
      <c r="F256" s="76" t="inlineStr">
        <is>
          <t>v</t>
        </is>
      </c>
      <c r="G256" s="83" t="inlineStr">
        <is>
          <t>By its number: arrows 2 costs 2 (at least 1; two-number values add up)</t>
        </is>
      </c>
      <c r="H256" s="84" t="n"/>
      <c r="I256" s="83" t="inlineStr">
        <is>
          <t>Only in the budget table (no skill of this name in the editor list).</t>
        </is>
      </c>
      <c r="J256" s="76" t="n">
        <v>0</v>
      </c>
    </row>
  </sheetData>
  <autoFilter ref="A16:J256"/>
  <dataValidations count="1">
    <dataValidation sqref="H17:H256" showDropDown="0" showInputMessage="0" showErrorMessage="0" allowBlank="1" errorTitle="Your N" error="Type a number, or v (the skill costs its own number)." type="custom">
      <formula1>OR(H17="",H17="v",ISNUMBER(H17))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39"/>
  <sheetViews>
    <sheetView workbookViewId="0">
      <pane ySplit="4" topLeftCell="A5" activePane="bottomLeft" state="frozen"/>
      <selection pane="bottomLeft" activeCell="A1" sqref="A1"/>
    </sheetView>
  </sheetViews>
  <sheetFormatPr baseColWidth="8" defaultRowHeight="15"/>
  <cols>
    <col width="30" customWidth="1" style="39" min="1" max="1"/>
    <col width="46" customWidth="1" style="39" min="2" max="2"/>
    <col width="40" customWidth="1" style="39" min="3" max="3"/>
    <col width="16" customWidth="1" style="39" min="4" max="4"/>
    <col width="18" customWidth="1" style="39" min="5" max="5"/>
    <col width="10" customWidth="1" style="39" min="6" max="6"/>
    <col width="8" customWidth="1" style="39" min="7" max="7"/>
    <col width="7" customWidth="1" style="39" min="8" max="8"/>
    <col width="8" customWidth="1" style="39" min="9" max="9"/>
    <col width="8" customWidth="1" style="39" min="10" max="10"/>
    <col width="30" customWidth="1" style="39" min="11" max="11"/>
    <col width="9" customWidth="1" style="39" min="12" max="12"/>
    <col width="7" customWidth="1" style="39" min="13" max="13"/>
    <col width="14" customWidth="1" style="39" min="14" max="14"/>
    <col width="12" customWidth="1" style="39" min="15" max="15"/>
    <col width="44" customWidth="1" style="39" min="16" max="16"/>
  </cols>
  <sheetData>
    <row r="1">
      <c r="A1" t="inlineStr">
        <is>
          <t>Factions &amp; regions: the skills each one leans on</t>
        </is>
      </c>
    </row>
    <row r="2">
      <c r="A2" t="inlineStr">
        <is>
          <t>Counted from canonical/cards.json for the cards the Plan sheet puts in each group (regions as in the name picker: biome fodder, map cards, later-world and spare cards of that biome). Signature = used by 2+ cards there and much more common there than across all cards.</t>
        </is>
      </c>
    </row>
    <row r="4">
      <c r="A4" s="85" t="inlineStr">
        <is>
          <t>Group</t>
        </is>
      </c>
      <c r="B4" s="85" t="inlineStr">
        <is>
          <t>Cards</t>
        </is>
      </c>
      <c r="C4" s="85" t="inlineStr">
        <is>
          <t>Important skills (cards using it)</t>
        </is>
      </c>
      <c r="D4" s="85" t="inlineStr">
        <is>
          <t>Signature skill(s)</t>
        </is>
      </c>
    </row>
    <row r="5">
      <c r="A5" s="83" t="inlineStr">
        <is>
          <t>Base</t>
        </is>
      </c>
      <c r="B5" s="83" t="n">
        <v>76</v>
      </c>
      <c r="C5" s="83" t="inlineStr">
        <is>
          <t>🪽 Flying (14), 🌙 Nocturnal (7), 🐜 Swarm (4), Guardian (4), 🛡 Armor (4), 🌊 Tide (2)</t>
        </is>
      </c>
      <c r="D5" s="83" t="inlineStr">
        <is>
          <t>🐜 Swarm, Guardian</t>
        </is>
      </c>
    </row>
    <row r="6">
      <c r="A6" s="83" t="inlineStr">
        <is>
          <t>Faction · Otters</t>
        </is>
      </c>
      <c r="B6" s="83" t="n">
        <v>23</v>
      </c>
      <c r="C6" s="83" t="inlineStr">
        <is>
          <t>🛡 Armor (5), 🪃 Boomerang (3), 🌊 Tide (2), 👢 Quick (1), Arrow (1), 🪖 Helmet (1)</t>
        </is>
      </c>
      <c r="D6" s="83" t="inlineStr">
        <is>
          <t>🪃 Boomerang, 🛡 Armor</t>
        </is>
      </c>
    </row>
    <row r="7">
      <c r="A7" s="83" t="inlineStr">
        <is>
          <t>Faction · Hummingbirds</t>
        </is>
      </c>
      <c r="B7" s="83" t="n">
        <v>22</v>
      </c>
      <c r="C7" s="83" t="inlineStr">
        <is>
          <t>🪽 Flying (22), ☀️ Diurnal (6), 🍃 Evasive (2), 🗡 Pierce (2), 🤝 Esprit (2), 🪓 Cleave (1)</t>
        </is>
      </c>
      <c r="D7" s="83" t="inlineStr">
        <is>
          <t>🗡 Pierce, 🤝 Esprit</t>
        </is>
      </c>
    </row>
    <row r="8">
      <c r="A8" s="83" t="inlineStr">
        <is>
          <t>Swamp</t>
        </is>
      </c>
      <c r="B8" s="83" t="n">
        <v>26</v>
      </c>
      <c r="C8" s="83" t="inlineStr">
        <is>
          <t>☠ Poison (5), 🪽 Flying (4), 🛡 Armor (3), 🌊 Tide (3), 🌙 Nocturnal (3), 🕯️ Remember (3)</t>
        </is>
      </c>
      <c r="D8" s="83" t="inlineStr">
        <is>
          <t>🕯️ Remember, ☠ Poison</t>
        </is>
      </c>
    </row>
    <row r="9">
      <c r="A9" s="83" t="inlineStr">
        <is>
          <t>Ice</t>
        </is>
      </c>
      <c r="B9" s="83" t="n">
        <v>25</v>
      </c>
      <c r="C9" s="83" t="inlineStr">
        <is>
          <t>🍃 Evasive (6), 🩸 Bleed (4), 🌙 Nocturnal (2), 😡 Rage (2), 🥶 Frostbite (2), 🪓 Cleave (2)</t>
        </is>
      </c>
      <c r="D9" s="83" t="inlineStr">
        <is>
          <t>🥶 Frostbite, 🩸 Bleed</t>
        </is>
      </c>
    </row>
    <row r="10">
      <c r="A10" s="83" t="inlineStr">
        <is>
          <t>Cave</t>
        </is>
      </c>
      <c r="B10" s="83" t="n">
        <v>25</v>
      </c>
      <c r="C10" s="83" t="inlineStr">
        <is>
          <t>👁️ Darksight (11), 🌙 Nocturnal (9), 🪽 Flying (6), ☠ Poison (3), Keen Sense (3), 🐢 Shell (2)</t>
        </is>
      </c>
      <c r="D10" s="83" t="inlineStr">
        <is>
          <t>Keen Sense, 👁️ Darksight</t>
        </is>
      </c>
    </row>
    <row r="11">
      <c r="A11" s="83" t="inlineStr">
        <is>
          <t>Ocean</t>
        </is>
      </c>
      <c r="B11" s="83" t="n">
        <v>37</v>
      </c>
      <c r="C11" s="83" t="inlineStr">
        <is>
          <t>🌊 Tide (27), 🪽 Flying (7), 🛡 Armor (5), 🍃 Evasive (5), 〰️ Wave (4), ⇔ Fork (3)</t>
        </is>
      </c>
      <c r="D11" s="83" t="inlineStr">
        <is>
          <t>〰️ Wave, 🦀 Molting</t>
        </is>
      </c>
    </row>
    <row r="12">
      <c r="A12" s="83" t="inlineStr">
        <is>
          <t>Volcano</t>
        </is>
      </c>
      <c r="B12" s="83" t="n">
        <v>31</v>
      </c>
      <c r="C12" s="83" t="inlineStr">
        <is>
          <t>🪽 Flying (5), Fire Arrow (4), ☠ Poison (3), 🛡 Armor (3), 🔥 Immolation (2), 🏜️ Dry (2)</t>
        </is>
      </c>
      <c r="D12" s="83" t="inlineStr">
        <is>
          <t>Sacrifice, Fire Arrow</t>
        </is>
      </c>
    </row>
    <row r="13">
      <c r="A13" s="83" t="inlineStr">
        <is>
          <t>River (its Base and faction cards)</t>
        </is>
      </c>
      <c r="B13" s="83" t="n">
        <v>27</v>
      </c>
      <c r="C13" s="83" t="inlineStr">
        <is>
          <t>🛡 Armor (5), 🌊 Tide (3), 🪃 Boomerang (3), 🪽 Flying (2), Guardian (2), 💚 Regeneration (1)</t>
        </is>
      </c>
      <c r="D13" s="83" t="inlineStr">
        <is>
          <t>🪃 Boomerang, Guardian</t>
        </is>
      </c>
    </row>
    <row r="14">
      <c r="A14" s="83" t="inlineStr">
        <is>
          <t>Desert</t>
        </is>
      </c>
      <c r="B14" s="83" t="n">
        <v>10</v>
      </c>
      <c r="C14" s="83" t="inlineStr">
        <is>
          <t>🏜️ Dry (10), 👁️ Darksight (2), 👢 Quick (2), ☠ Poison (2), 🌵 Thorns (2), 🫂 Sociable (1)</t>
        </is>
      </c>
      <c r="D14" s="83" t="inlineStr">
        <is>
          <t>🏜️ Dry, 🌵 Thorns</t>
        </is>
      </c>
    </row>
    <row r="15">
      <c r="A15" s="83" t="inlineStr">
        <is>
          <t>Forest</t>
        </is>
      </c>
      <c r="B15" s="83" t="n">
        <v>22</v>
      </c>
      <c r="C15" s="83" t="inlineStr">
        <is>
          <t>🪽 Flying (2), 🌵 Thorns (2), 🐜 Swarm (1), 💚 Regeneration (1), ☀️ Diurnal (1), 🍃 Evasive (1)</t>
        </is>
      </c>
      <c r="D15" s="83" t="inlineStr">
        <is>
          <t>🌵 Thorns, 🪽 Flying</t>
        </is>
      </c>
    </row>
    <row r="16">
      <c r="A16" s="83" t="inlineStr">
        <is>
          <t>Mountain</t>
        </is>
      </c>
      <c r="B16" s="83" t="n">
        <v>12</v>
      </c>
      <c r="C16" s="83" t="inlineStr">
        <is>
          <t>🪽 Flying (5), Daunt (1), Skyfall (1), Guardian (1), 🌙 Nocturnal (1), 🎯 Expose (1)</t>
        </is>
      </c>
      <c r="D16" s="83" t="inlineStr">
        <is>
          <t>🪽 Flying</t>
        </is>
      </c>
    </row>
    <row r="17">
      <c r="A17" s="83" t="inlineStr">
        <is>
          <t>Savanna</t>
        </is>
      </c>
      <c r="B17" s="83" t="n">
        <v>15</v>
      </c>
      <c r="C17" s="83" t="inlineStr">
        <is>
          <t>👢 Quick (3), 🛡 Armor (3), 🌵 Thorns (2), 🍃 Evasive (2), 🐘 Stampede (1), Siege (1)</t>
        </is>
      </c>
      <c r="D17" s="83" t="inlineStr">
        <is>
          <t>👢 Quick, 🌵 Thorns</t>
        </is>
      </c>
    </row>
    <row r="18">
      <c r="A18" s="83" t="inlineStr">
        <is>
          <t>Village and farm</t>
        </is>
      </c>
      <c r="B18" s="83" t="n">
        <v>11</v>
      </c>
      <c r="C18" s="83" t="inlineStr">
        <is>
          <t>🛡️ Shield Call (1), 🐘 Stampede (1), 🎖️ Loyal (1), 🗡️👑 Usurper (1), Arrow (1), 🪽 Flying (1)</t>
        </is>
      </c>
      <c r="D18" s="83" t="inlineStr">
        <is>
          <t>— (no skill stands out)</t>
        </is>
      </c>
    </row>
    <row r="20">
      <c r="A20" s="86" t="inlineStr">
        <is>
          <t>Skill table</t>
        </is>
      </c>
    </row>
    <row r="21">
      <c r="A21" s="85" t="inlineStr">
        <is>
          <t>Group</t>
        </is>
      </c>
      <c r="B21" s="85" t="inlineStr">
        <is>
          <t>Icon</t>
        </is>
      </c>
      <c r="C21" s="85" t="inlineStr">
        <is>
          <t>Skill</t>
        </is>
      </c>
      <c r="D21" s="85" t="inlineStr">
        <is>
          <t>Cards using it</t>
        </is>
      </c>
      <c r="E21" s="85" t="inlineStr">
        <is>
          <t>Cards in group</t>
        </is>
      </c>
      <c r="F21" s="85" t="inlineStr">
        <is>
          <t>Share</t>
        </is>
      </c>
      <c r="G21" s="85" t="inlineStr">
        <is>
          <t>Signature?</t>
        </is>
      </c>
    </row>
    <row r="22">
      <c r="A22" s="76" t="inlineStr">
        <is>
          <t>Base</t>
        </is>
      </c>
      <c r="B22" s="76" t="inlineStr">
        <is>
          <t>🪽</t>
        </is>
      </c>
      <c r="C22" s="76" t="inlineStr">
        <is>
          <t>Flying</t>
        </is>
      </c>
      <c r="D22" s="76" t="n">
        <v>14</v>
      </c>
      <c r="E22" s="76" t="n">
        <v>76</v>
      </c>
      <c r="F22" s="87">
        <f>IF(E22=0,0,D22/E22)</f>
        <v/>
      </c>
      <c r="G22" s="76" t="inlineStr"/>
    </row>
    <row r="23">
      <c r="A23" s="76" t="inlineStr">
        <is>
          <t>Base</t>
        </is>
      </c>
      <c r="B23" s="76" t="inlineStr">
        <is>
          <t>🌙</t>
        </is>
      </c>
      <c r="C23" s="76" t="inlineStr">
        <is>
          <t>Nocturnal</t>
        </is>
      </c>
      <c r="D23" s="76" t="n">
        <v>7</v>
      </c>
      <c r="E23" s="76" t="n">
        <v>76</v>
      </c>
      <c r="F23" s="87">
        <f>IF(E23=0,0,D23/E23)</f>
        <v/>
      </c>
      <c r="G23" s="76" t="inlineStr"/>
    </row>
    <row r="24">
      <c r="A24" s="76" t="inlineStr">
        <is>
          <t>Base</t>
        </is>
      </c>
      <c r="B24" s="76" t="inlineStr">
        <is>
          <t>⚙️</t>
        </is>
      </c>
      <c r="C24" s="76" t="inlineStr">
        <is>
          <t>Custom trigger</t>
        </is>
      </c>
      <c r="D24" s="76" t="n">
        <v>5</v>
      </c>
      <c r="E24" s="76" t="n">
        <v>76</v>
      </c>
      <c r="F24" s="87">
        <f>IF(E24=0,0,D24/E24)</f>
        <v/>
      </c>
      <c r="G24" s="76" t="inlineStr"/>
    </row>
    <row r="25">
      <c r="A25" s="76" t="inlineStr">
        <is>
          <t>Base</t>
        </is>
      </c>
      <c r="B25" s="76" t="inlineStr">
        <is>
          <t>🐜</t>
        </is>
      </c>
      <c r="C25" s="76" t="inlineStr">
        <is>
          <t>Swarm</t>
        </is>
      </c>
      <c r="D25" s="76" t="n">
        <v>4</v>
      </c>
      <c r="E25" s="76" t="n">
        <v>76</v>
      </c>
      <c r="F25" s="87">
        <f>IF(E25=0,0,D25/E25)</f>
        <v/>
      </c>
      <c r="G25" s="76" t="inlineStr">
        <is>
          <t>yes</t>
        </is>
      </c>
    </row>
    <row r="26">
      <c r="A26" s="76" t="inlineStr">
        <is>
          <t>Base</t>
        </is>
      </c>
      <c r="B26" s="76" t="inlineStr"/>
      <c r="C26" s="76" t="inlineStr">
        <is>
          <t>Guardian</t>
        </is>
      </c>
      <c r="D26" s="76" t="n">
        <v>4</v>
      </c>
      <c r="E26" s="76" t="n">
        <v>76</v>
      </c>
      <c r="F26" s="87">
        <f>IF(E26=0,0,D26/E26)</f>
        <v/>
      </c>
      <c r="G26" s="76" t="inlineStr">
        <is>
          <t>yes</t>
        </is>
      </c>
    </row>
    <row r="27">
      <c r="A27" s="76" t="inlineStr">
        <is>
          <t>Base</t>
        </is>
      </c>
      <c r="B27" s="76" t="inlineStr">
        <is>
          <t>🛡</t>
        </is>
      </c>
      <c r="C27" s="76" t="inlineStr">
        <is>
          <t>Armor</t>
        </is>
      </c>
      <c r="D27" s="76" t="n">
        <v>4</v>
      </c>
      <c r="E27" s="76" t="n">
        <v>76</v>
      </c>
      <c r="F27" s="87">
        <f>IF(E27=0,0,D27/E27)</f>
        <v/>
      </c>
      <c r="G27" s="76" t="inlineStr"/>
    </row>
    <row r="28">
      <c r="A28" s="76" t="inlineStr">
        <is>
          <t>Base</t>
        </is>
      </c>
      <c r="B28" s="76" t="inlineStr">
        <is>
          <t>🌊</t>
        </is>
      </c>
      <c r="C28" s="76" t="inlineStr">
        <is>
          <t>Tide</t>
        </is>
      </c>
      <c r="D28" s="76" t="n">
        <v>2</v>
      </c>
      <c r="E28" s="76" t="n">
        <v>76</v>
      </c>
      <c r="F28" s="87">
        <f>IF(E28=0,0,D28/E28)</f>
        <v/>
      </c>
      <c r="G28" s="76" t="inlineStr"/>
    </row>
    <row r="29">
      <c r="A29" s="76" t="inlineStr">
        <is>
          <t>Base</t>
        </is>
      </c>
      <c r="B29" s="76" t="inlineStr"/>
      <c r="C29" s="76" t="inlineStr">
        <is>
          <t>Stealth</t>
        </is>
      </c>
      <c r="D29" s="76" t="n">
        <v>2</v>
      </c>
      <c r="E29" s="76" t="n">
        <v>76</v>
      </c>
      <c r="F29" s="87">
        <f>IF(E29=0,0,D29/E29)</f>
        <v/>
      </c>
      <c r="G29" s="76" t="inlineStr"/>
    </row>
    <row r="30">
      <c r="A30" s="76" t="inlineStr">
        <is>
          <t>Faction · Otters</t>
        </is>
      </c>
      <c r="B30" s="76" t="inlineStr">
        <is>
          <t>🛡</t>
        </is>
      </c>
      <c r="C30" s="76" t="inlineStr">
        <is>
          <t>Armor</t>
        </is>
      </c>
      <c r="D30" s="76" t="n">
        <v>5</v>
      </c>
      <c r="E30" s="76" t="n">
        <v>23</v>
      </c>
      <c r="F30" s="87">
        <f>IF(E30=0,0,D30/E30)</f>
        <v/>
      </c>
      <c r="G30" s="76" t="inlineStr">
        <is>
          <t>yes</t>
        </is>
      </c>
    </row>
    <row r="31">
      <c r="A31" s="76" t="inlineStr">
        <is>
          <t>Faction · Otters</t>
        </is>
      </c>
      <c r="B31" s="76" t="inlineStr">
        <is>
          <t>🪃</t>
        </is>
      </c>
      <c r="C31" s="76" t="inlineStr">
        <is>
          <t>Boomerang</t>
        </is>
      </c>
      <c r="D31" s="76" t="n">
        <v>3</v>
      </c>
      <c r="E31" s="76" t="n">
        <v>23</v>
      </c>
      <c r="F31" s="87">
        <f>IF(E31=0,0,D31/E31)</f>
        <v/>
      </c>
      <c r="G31" s="76" t="inlineStr">
        <is>
          <t>yes</t>
        </is>
      </c>
    </row>
    <row r="32">
      <c r="A32" s="76" t="inlineStr">
        <is>
          <t>Faction · Otters</t>
        </is>
      </c>
      <c r="B32" s="76" t="inlineStr">
        <is>
          <t>🌊</t>
        </is>
      </c>
      <c r="C32" s="76" t="inlineStr">
        <is>
          <t>Tide</t>
        </is>
      </c>
      <c r="D32" s="76" t="n">
        <v>2</v>
      </c>
      <c r="E32" s="76" t="n">
        <v>23</v>
      </c>
      <c r="F32" s="87">
        <f>IF(E32=0,0,D32/E32)</f>
        <v/>
      </c>
      <c r="G32" s="76" t="inlineStr"/>
    </row>
    <row r="33">
      <c r="A33" s="76" t="inlineStr">
        <is>
          <t>Faction · Otters</t>
        </is>
      </c>
      <c r="B33" s="76" t="inlineStr">
        <is>
          <t>👢</t>
        </is>
      </c>
      <c r="C33" s="76" t="inlineStr">
        <is>
          <t>Quick</t>
        </is>
      </c>
      <c r="D33" s="76" t="n">
        <v>1</v>
      </c>
      <c r="E33" s="76" t="n">
        <v>23</v>
      </c>
      <c r="F33" s="87">
        <f>IF(E33=0,0,D33/E33)</f>
        <v/>
      </c>
      <c r="G33" s="76" t="inlineStr"/>
    </row>
    <row r="34">
      <c r="A34" s="76" t="inlineStr">
        <is>
          <t>Faction · Otters</t>
        </is>
      </c>
      <c r="B34" s="76" t="inlineStr"/>
      <c r="C34" s="76" t="inlineStr">
        <is>
          <t>Arrow</t>
        </is>
      </c>
      <c r="D34" s="76" t="n">
        <v>1</v>
      </c>
      <c r="E34" s="76" t="n">
        <v>23</v>
      </c>
      <c r="F34" s="87">
        <f>IF(E34=0,0,D34/E34)</f>
        <v/>
      </c>
      <c r="G34" s="76" t="inlineStr"/>
    </row>
    <row r="35">
      <c r="A35" s="76" t="inlineStr">
        <is>
          <t>Faction · Otters</t>
        </is>
      </c>
      <c r="B35" s="76" t="inlineStr">
        <is>
          <t>🪖</t>
        </is>
      </c>
      <c r="C35" s="76" t="inlineStr">
        <is>
          <t>Helmet</t>
        </is>
      </c>
      <c r="D35" s="76" t="n">
        <v>1</v>
      </c>
      <c r="E35" s="76" t="n">
        <v>23</v>
      </c>
      <c r="F35" s="87">
        <f>IF(E35=0,0,D35/E35)</f>
        <v/>
      </c>
      <c r="G35" s="76" t="inlineStr"/>
    </row>
    <row r="36">
      <c r="A36" s="76" t="inlineStr">
        <is>
          <t>Faction · Otters</t>
        </is>
      </c>
      <c r="B36" s="76" t="inlineStr">
        <is>
          <t>🐢</t>
        </is>
      </c>
      <c r="C36" s="76" t="inlineStr">
        <is>
          <t>Shell</t>
        </is>
      </c>
      <c r="D36" s="76" t="n">
        <v>1</v>
      </c>
      <c r="E36" s="76" t="n">
        <v>23</v>
      </c>
      <c r="F36" s="87">
        <f>IF(E36=0,0,D36/E36)</f>
        <v/>
      </c>
      <c r="G36" s="76" t="inlineStr"/>
    </row>
    <row r="37">
      <c r="A37" s="76" t="inlineStr">
        <is>
          <t>Faction · Otters</t>
        </is>
      </c>
      <c r="B37" s="76" t="inlineStr">
        <is>
          <t>📯</t>
        </is>
      </c>
      <c r="C37" s="76" t="inlineStr">
        <is>
          <t>Inspiring</t>
        </is>
      </c>
      <c r="D37" s="76" t="n">
        <v>1</v>
      </c>
      <c r="E37" s="76" t="n">
        <v>23</v>
      </c>
      <c r="F37" s="87">
        <f>IF(E37=0,0,D37/E37)</f>
        <v/>
      </c>
      <c r="G37" s="76" t="inlineStr"/>
    </row>
    <row r="38">
      <c r="A38" s="76" t="inlineStr">
        <is>
          <t>Faction · Hummingbirds</t>
        </is>
      </c>
      <c r="B38" s="76" t="inlineStr">
        <is>
          <t>🪽</t>
        </is>
      </c>
      <c r="C38" s="76" t="inlineStr">
        <is>
          <t>Flying</t>
        </is>
      </c>
      <c r="D38" s="76" t="n">
        <v>22</v>
      </c>
      <c r="E38" s="76" t="n">
        <v>22</v>
      </c>
      <c r="F38" s="87">
        <f>IF(E38=0,0,D38/E38)</f>
        <v/>
      </c>
      <c r="G38" s="76" t="inlineStr"/>
    </row>
    <row r="39">
      <c r="A39" s="76" t="inlineStr">
        <is>
          <t>Faction · Hummingbirds</t>
        </is>
      </c>
      <c r="B39" s="76" t="inlineStr">
        <is>
          <t>☀️</t>
        </is>
      </c>
      <c r="C39" s="76" t="inlineStr">
        <is>
          <t>Diurnal</t>
        </is>
      </c>
      <c r="D39" s="76" t="n">
        <v>6</v>
      </c>
      <c r="E39" s="76" t="n">
        <v>22</v>
      </c>
      <c r="F39" s="87">
        <f>IF(E39=0,0,D39/E39)</f>
        <v/>
      </c>
      <c r="G39" s="76" t="inlineStr"/>
    </row>
    <row r="40">
      <c r="A40" s="76" t="inlineStr">
        <is>
          <t>Faction · Hummingbirds</t>
        </is>
      </c>
      <c r="B40" s="76" t="inlineStr">
        <is>
          <t>🍃</t>
        </is>
      </c>
      <c r="C40" s="76" t="inlineStr">
        <is>
          <t>Evasive</t>
        </is>
      </c>
      <c r="D40" s="76" t="n">
        <v>2</v>
      </c>
      <c r="E40" s="76" t="n">
        <v>22</v>
      </c>
      <c r="F40" s="87">
        <f>IF(E40=0,0,D40/E40)</f>
        <v/>
      </c>
      <c r="G40" s="76" t="inlineStr"/>
    </row>
    <row r="41">
      <c r="A41" s="76" t="inlineStr">
        <is>
          <t>Faction · Hummingbirds</t>
        </is>
      </c>
      <c r="B41" s="76" t="inlineStr">
        <is>
          <t>🗡</t>
        </is>
      </c>
      <c r="C41" s="76" t="inlineStr">
        <is>
          <t>Pierce</t>
        </is>
      </c>
      <c r="D41" s="76" t="n">
        <v>2</v>
      </c>
      <c r="E41" s="76" t="n">
        <v>22</v>
      </c>
      <c r="F41" s="87">
        <f>IF(E41=0,0,D41/E41)</f>
        <v/>
      </c>
      <c r="G41" s="76" t="inlineStr">
        <is>
          <t>yes</t>
        </is>
      </c>
    </row>
    <row r="42">
      <c r="A42" s="76" t="inlineStr">
        <is>
          <t>Faction · Hummingbirds</t>
        </is>
      </c>
      <c r="B42" s="76" t="inlineStr">
        <is>
          <t>🤝</t>
        </is>
      </c>
      <c r="C42" s="76" t="inlineStr">
        <is>
          <t>Esprit</t>
        </is>
      </c>
      <c r="D42" s="76" t="n">
        <v>2</v>
      </c>
      <c r="E42" s="76" t="n">
        <v>22</v>
      </c>
      <c r="F42" s="87">
        <f>IF(E42=0,0,D42/E42)</f>
        <v/>
      </c>
      <c r="G42" s="76" t="inlineStr">
        <is>
          <t>yes</t>
        </is>
      </c>
    </row>
    <row r="43">
      <c r="A43" s="76" t="inlineStr">
        <is>
          <t>Faction · Hummingbirds</t>
        </is>
      </c>
      <c r="B43" s="76" t="inlineStr">
        <is>
          <t>🪓</t>
        </is>
      </c>
      <c r="C43" s="76" t="inlineStr">
        <is>
          <t>Cleave</t>
        </is>
      </c>
      <c r="D43" s="76" t="n">
        <v>1</v>
      </c>
      <c r="E43" s="76" t="n">
        <v>22</v>
      </c>
      <c r="F43" s="87">
        <f>IF(E43=0,0,D43/E43)</f>
        <v/>
      </c>
      <c r="G43" s="76" t="inlineStr"/>
    </row>
    <row r="44">
      <c r="A44" s="76" t="inlineStr">
        <is>
          <t>Faction · Hummingbirds</t>
        </is>
      </c>
      <c r="B44" s="76" t="inlineStr">
        <is>
          <t>⚙️</t>
        </is>
      </c>
      <c r="C44" s="76" t="inlineStr">
        <is>
          <t>Custom trigger</t>
        </is>
      </c>
      <c r="D44" s="76" t="n">
        <v>1</v>
      </c>
      <c r="E44" s="76" t="n">
        <v>22</v>
      </c>
      <c r="F44" s="87">
        <f>IF(E44=0,0,D44/E44)</f>
        <v/>
      </c>
      <c r="G44" s="76" t="inlineStr"/>
    </row>
    <row r="45">
      <c r="A45" s="76" t="inlineStr">
        <is>
          <t>Faction · Hummingbirds</t>
        </is>
      </c>
      <c r="B45" s="76" t="inlineStr">
        <is>
          <t>💚</t>
        </is>
      </c>
      <c r="C45" s="76" t="inlineStr">
        <is>
          <t>Regeneration</t>
        </is>
      </c>
      <c r="D45" s="76" t="n">
        <v>1</v>
      </c>
      <c r="E45" s="76" t="n">
        <v>22</v>
      </c>
      <c r="F45" s="87">
        <f>IF(E45=0,0,D45/E45)</f>
        <v/>
      </c>
      <c r="G45" s="76" t="inlineStr"/>
    </row>
    <row r="46">
      <c r="A46" s="76" t="inlineStr">
        <is>
          <t>Swamp</t>
        </is>
      </c>
      <c r="B46" s="76" t="inlineStr">
        <is>
          <t>☠</t>
        </is>
      </c>
      <c r="C46" s="76" t="inlineStr">
        <is>
          <t>Poison</t>
        </is>
      </c>
      <c r="D46" s="76" t="n">
        <v>5</v>
      </c>
      <c r="E46" s="76" t="n">
        <v>26</v>
      </c>
      <c r="F46" s="87">
        <f>IF(E46=0,0,D46/E46)</f>
        <v/>
      </c>
      <c r="G46" s="76" t="inlineStr">
        <is>
          <t>yes</t>
        </is>
      </c>
    </row>
    <row r="47">
      <c r="A47" s="76" t="inlineStr">
        <is>
          <t>Swamp</t>
        </is>
      </c>
      <c r="B47" s="76" t="inlineStr">
        <is>
          <t>⚙️</t>
        </is>
      </c>
      <c r="C47" s="76" t="inlineStr">
        <is>
          <t>Custom trigger</t>
        </is>
      </c>
      <c r="D47" s="76" t="n">
        <v>5</v>
      </c>
      <c r="E47" s="76" t="n">
        <v>26</v>
      </c>
      <c r="F47" s="87">
        <f>IF(E47=0,0,D47/E47)</f>
        <v/>
      </c>
      <c r="G47" s="76" t="inlineStr"/>
    </row>
    <row r="48">
      <c r="A48" s="76" t="inlineStr">
        <is>
          <t>Swamp</t>
        </is>
      </c>
      <c r="B48" s="76" t="inlineStr">
        <is>
          <t>🪽</t>
        </is>
      </c>
      <c r="C48" s="76" t="inlineStr">
        <is>
          <t>Flying</t>
        </is>
      </c>
      <c r="D48" s="76" t="n">
        <v>4</v>
      </c>
      <c r="E48" s="76" t="n">
        <v>26</v>
      </c>
      <c r="F48" s="87">
        <f>IF(E48=0,0,D48/E48)</f>
        <v/>
      </c>
      <c r="G48" s="76" t="inlineStr"/>
    </row>
    <row r="49">
      <c r="A49" s="76" t="inlineStr">
        <is>
          <t>Swamp</t>
        </is>
      </c>
      <c r="B49" s="76" t="inlineStr">
        <is>
          <t>🛡</t>
        </is>
      </c>
      <c r="C49" s="76" t="inlineStr">
        <is>
          <t>Armor</t>
        </is>
      </c>
      <c r="D49" s="76" t="n">
        <v>3</v>
      </c>
      <c r="E49" s="76" t="n">
        <v>26</v>
      </c>
      <c r="F49" s="87">
        <f>IF(E49=0,0,D49/E49)</f>
        <v/>
      </c>
      <c r="G49" s="76" t="inlineStr"/>
    </row>
    <row r="50">
      <c r="A50" s="76" t="inlineStr">
        <is>
          <t>Swamp</t>
        </is>
      </c>
      <c r="B50" s="76" t="inlineStr">
        <is>
          <t>🌊</t>
        </is>
      </c>
      <c r="C50" s="76" t="inlineStr">
        <is>
          <t>Tide</t>
        </is>
      </c>
      <c r="D50" s="76" t="n">
        <v>3</v>
      </c>
      <c r="E50" s="76" t="n">
        <v>26</v>
      </c>
      <c r="F50" s="87">
        <f>IF(E50=0,0,D50/E50)</f>
        <v/>
      </c>
      <c r="G50" s="76" t="inlineStr"/>
    </row>
    <row r="51">
      <c r="A51" s="76" t="inlineStr">
        <is>
          <t>Swamp</t>
        </is>
      </c>
      <c r="B51" s="76" t="inlineStr">
        <is>
          <t>🌙</t>
        </is>
      </c>
      <c r="C51" s="76" t="inlineStr">
        <is>
          <t>Nocturnal</t>
        </is>
      </c>
      <c r="D51" s="76" t="n">
        <v>3</v>
      </c>
      <c r="E51" s="76" t="n">
        <v>26</v>
      </c>
      <c r="F51" s="87">
        <f>IF(E51=0,0,D51/E51)</f>
        <v/>
      </c>
      <c r="G51" s="76" t="inlineStr"/>
    </row>
    <row r="52">
      <c r="A52" s="76" t="inlineStr">
        <is>
          <t>Swamp</t>
        </is>
      </c>
      <c r="B52" s="76" t="inlineStr">
        <is>
          <t>🕯️</t>
        </is>
      </c>
      <c r="C52" s="76" t="inlineStr">
        <is>
          <t>Remember</t>
        </is>
      </c>
      <c r="D52" s="76" t="n">
        <v>3</v>
      </c>
      <c r="E52" s="76" t="n">
        <v>26</v>
      </c>
      <c r="F52" s="87">
        <f>IF(E52=0,0,D52/E52)</f>
        <v/>
      </c>
      <c r="G52" s="76" t="inlineStr">
        <is>
          <t>yes</t>
        </is>
      </c>
    </row>
    <row r="53">
      <c r="A53" s="76" t="inlineStr">
        <is>
          <t>Swamp</t>
        </is>
      </c>
      <c r="B53" s="76" t="inlineStr">
        <is>
          <t>🩸</t>
        </is>
      </c>
      <c r="C53" s="76" t="inlineStr">
        <is>
          <t>Bleed</t>
        </is>
      </c>
      <c r="D53" s="76" t="n">
        <v>2</v>
      </c>
      <c r="E53" s="76" t="n">
        <v>26</v>
      </c>
      <c r="F53" s="87">
        <f>IF(E53=0,0,D53/E53)</f>
        <v/>
      </c>
      <c r="G53" s="76" t="inlineStr"/>
    </row>
    <row r="54">
      <c r="A54" s="76" t="inlineStr">
        <is>
          <t>Ice</t>
        </is>
      </c>
      <c r="B54" s="76" t="inlineStr">
        <is>
          <t>🍃</t>
        </is>
      </c>
      <c r="C54" s="76" t="inlineStr">
        <is>
          <t>Evasive</t>
        </is>
      </c>
      <c r="D54" s="76" t="n">
        <v>6</v>
      </c>
      <c r="E54" s="76" t="n">
        <v>25</v>
      </c>
      <c r="F54" s="87">
        <f>IF(E54=0,0,D54/E54)</f>
        <v/>
      </c>
      <c r="G54" s="76" t="inlineStr"/>
    </row>
    <row r="55">
      <c r="A55" s="76" t="inlineStr">
        <is>
          <t>Ice</t>
        </is>
      </c>
      <c r="B55" s="76" t="inlineStr">
        <is>
          <t>🩸</t>
        </is>
      </c>
      <c r="C55" s="76" t="inlineStr">
        <is>
          <t>Bleed</t>
        </is>
      </c>
      <c r="D55" s="76" t="n">
        <v>4</v>
      </c>
      <c r="E55" s="76" t="n">
        <v>25</v>
      </c>
      <c r="F55" s="87">
        <f>IF(E55=0,0,D55/E55)</f>
        <v/>
      </c>
      <c r="G55" s="76" t="inlineStr">
        <is>
          <t>yes</t>
        </is>
      </c>
    </row>
    <row r="56">
      <c r="A56" s="76" t="inlineStr">
        <is>
          <t>Ice</t>
        </is>
      </c>
      <c r="B56" s="76" t="inlineStr">
        <is>
          <t>⚙️</t>
        </is>
      </c>
      <c r="C56" s="76" t="inlineStr">
        <is>
          <t>Custom trigger</t>
        </is>
      </c>
      <c r="D56" s="76" t="n">
        <v>3</v>
      </c>
      <c r="E56" s="76" t="n">
        <v>25</v>
      </c>
      <c r="F56" s="87">
        <f>IF(E56=0,0,D56/E56)</f>
        <v/>
      </c>
      <c r="G56" s="76" t="inlineStr"/>
    </row>
    <row r="57">
      <c r="A57" s="76" t="inlineStr">
        <is>
          <t>Ice</t>
        </is>
      </c>
      <c r="B57" s="76" t="inlineStr">
        <is>
          <t>🌙</t>
        </is>
      </c>
      <c r="C57" s="76" t="inlineStr">
        <is>
          <t>Nocturnal</t>
        </is>
      </c>
      <c r="D57" s="76" t="n">
        <v>2</v>
      </c>
      <c r="E57" s="76" t="n">
        <v>25</v>
      </c>
      <c r="F57" s="87">
        <f>IF(E57=0,0,D57/E57)</f>
        <v/>
      </c>
      <c r="G57" s="76" t="inlineStr"/>
    </row>
    <row r="58">
      <c r="A58" s="76" t="inlineStr">
        <is>
          <t>Ice</t>
        </is>
      </c>
      <c r="B58" s="76" t="inlineStr">
        <is>
          <t>😡</t>
        </is>
      </c>
      <c r="C58" s="76" t="inlineStr">
        <is>
          <t>Rage</t>
        </is>
      </c>
      <c r="D58" s="76" t="n">
        <v>2</v>
      </c>
      <c r="E58" s="76" t="n">
        <v>25</v>
      </c>
      <c r="F58" s="87">
        <f>IF(E58=0,0,D58/E58)</f>
        <v/>
      </c>
      <c r="G58" s="76" t="inlineStr"/>
    </row>
    <row r="59">
      <c r="A59" s="76" t="inlineStr">
        <is>
          <t>Ice</t>
        </is>
      </c>
      <c r="B59" s="76" t="inlineStr">
        <is>
          <t>🥶</t>
        </is>
      </c>
      <c r="C59" s="76" t="inlineStr">
        <is>
          <t>Frostbite</t>
        </is>
      </c>
      <c r="D59" s="76" t="n">
        <v>2</v>
      </c>
      <c r="E59" s="76" t="n">
        <v>25</v>
      </c>
      <c r="F59" s="87">
        <f>IF(E59=0,0,D59/E59)</f>
        <v/>
      </c>
      <c r="G59" s="76" t="inlineStr">
        <is>
          <t>yes</t>
        </is>
      </c>
    </row>
    <row r="60">
      <c r="A60" s="76" t="inlineStr">
        <is>
          <t>Ice</t>
        </is>
      </c>
      <c r="B60" s="76" t="inlineStr">
        <is>
          <t>🪓</t>
        </is>
      </c>
      <c r="C60" s="76" t="inlineStr">
        <is>
          <t>Cleave</t>
        </is>
      </c>
      <c r="D60" s="76" t="n">
        <v>2</v>
      </c>
      <c r="E60" s="76" t="n">
        <v>25</v>
      </c>
      <c r="F60" s="87">
        <f>IF(E60=0,0,D60/E60)</f>
        <v/>
      </c>
      <c r="G60" s="76" t="inlineStr"/>
    </row>
    <row r="61">
      <c r="A61" s="76" t="inlineStr">
        <is>
          <t>Ice</t>
        </is>
      </c>
      <c r="B61" s="76" t="inlineStr">
        <is>
          <t>🐺</t>
        </is>
      </c>
      <c r="C61" s="76" t="inlineStr">
        <is>
          <t>Lone Wolf</t>
        </is>
      </c>
      <c r="D61" s="76" t="n">
        <v>1</v>
      </c>
      <c r="E61" s="76" t="n">
        <v>25</v>
      </c>
      <c r="F61" s="87">
        <f>IF(E61=0,0,D61/E61)</f>
        <v/>
      </c>
      <c r="G61" s="76" t="inlineStr"/>
    </row>
    <row r="62">
      <c r="A62" s="76" t="inlineStr">
        <is>
          <t>Cave</t>
        </is>
      </c>
      <c r="B62" s="76" t="inlineStr">
        <is>
          <t>👁️</t>
        </is>
      </c>
      <c r="C62" s="76" t="inlineStr">
        <is>
          <t>Darksight</t>
        </is>
      </c>
      <c r="D62" s="76" t="n">
        <v>11</v>
      </c>
      <c r="E62" s="76" t="n">
        <v>25</v>
      </c>
      <c r="F62" s="87">
        <f>IF(E62=0,0,D62/E62)</f>
        <v/>
      </c>
      <c r="G62" s="76" t="inlineStr">
        <is>
          <t>yes</t>
        </is>
      </c>
    </row>
    <row r="63">
      <c r="A63" s="76" t="inlineStr">
        <is>
          <t>Cave</t>
        </is>
      </c>
      <c r="B63" s="76" t="inlineStr">
        <is>
          <t>🌙</t>
        </is>
      </c>
      <c r="C63" s="76" t="inlineStr">
        <is>
          <t>Nocturnal</t>
        </is>
      </c>
      <c r="D63" s="76" t="n">
        <v>9</v>
      </c>
      <c r="E63" s="76" t="n">
        <v>25</v>
      </c>
      <c r="F63" s="87">
        <f>IF(E63=0,0,D63/E63)</f>
        <v/>
      </c>
      <c r="G63" s="76" t="inlineStr"/>
    </row>
    <row r="64">
      <c r="A64" s="76" t="inlineStr">
        <is>
          <t>Cave</t>
        </is>
      </c>
      <c r="B64" s="76" t="inlineStr">
        <is>
          <t>🪽</t>
        </is>
      </c>
      <c r="C64" s="76" t="inlineStr">
        <is>
          <t>Flying</t>
        </is>
      </c>
      <c r="D64" s="76" t="n">
        <v>6</v>
      </c>
      <c r="E64" s="76" t="n">
        <v>25</v>
      </c>
      <c r="F64" s="87">
        <f>IF(E64=0,0,D64/E64)</f>
        <v/>
      </c>
      <c r="G64" s="76" t="inlineStr"/>
    </row>
    <row r="65">
      <c r="A65" s="76" t="inlineStr">
        <is>
          <t>Cave</t>
        </is>
      </c>
      <c r="B65" s="76" t="inlineStr">
        <is>
          <t>☠</t>
        </is>
      </c>
      <c r="C65" s="76" t="inlineStr">
        <is>
          <t>Poison</t>
        </is>
      </c>
      <c r="D65" s="76" t="n">
        <v>3</v>
      </c>
      <c r="E65" s="76" t="n">
        <v>25</v>
      </c>
      <c r="F65" s="87">
        <f>IF(E65=0,0,D65/E65)</f>
        <v/>
      </c>
      <c r="G65" s="76" t="inlineStr"/>
    </row>
    <row r="66">
      <c r="A66" s="76" t="inlineStr">
        <is>
          <t>Cave</t>
        </is>
      </c>
      <c r="B66" s="76" t="inlineStr"/>
      <c r="C66" s="76" t="inlineStr">
        <is>
          <t>Keen Sense</t>
        </is>
      </c>
      <c r="D66" s="76" t="n">
        <v>3</v>
      </c>
      <c r="E66" s="76" t="n">
        <v>25</v>
      </c>
      <c r="F66" s="87">
        <f>IF(E66=0,0,D66/E66)</f>
        <v/>
      </c>
      <c r="G66" s="76" t="inlineStr">
        <is>
          <t>yes</t>
        </is>
      </c>
    </row>
    <row r="67">
      <c r="A67" s="76" t="inlineStr">
        <is>
          <t>Cave</t>
        </is>
      </c>
      <c r="B67" s="76" t="inlineStr">
        <is>
          <t>🐢</t>
        </is>
      </c>
      <c r="C67" s="76" t="inlineStr">
        <is>
          <t>Shell</t>
        </is>
      </c>
      <c r="D67" s="76" t="n">
        <v>2</v>
      </c>
      <c r="E67" s="76" t="n">
        <v>25</v>
      </c>
      <c r="F67" s="87">
        <f>IF(E67=0,0,D67/E67)</f>
        <v/>
      </c>
      <c r="G67" s="76" t="inlineStr"/>
    </row>
    <row r="68">
      <c r="A68" s="76" t="inlineStr">
        <is>
          <t>Cave</t>
        </is>
      </c>
      <c r="B68" s="76" t="inlineStr"/>
      <c r="C68" s="76" t="inlineStr">
        <is>
          <t>Progeny</t>
        </is>
      </c>
      <c r="D68" s="76" t="n">
        <v>2</v>
      </c>
      <c r="E68" s="76" t="n">
        <v>25</v>
      </c>
      <c r="F68" s="87">
        <f>IF(E68=0,0,D68/E68)</f>
        <v/>
      </c>
      <c r="G68" s="76" t="inlineStr"/>
    </row>
    <row r="69">
      <c r="A69" s="76" t="inlineStr">
        <is>
          <t>Cave</t>
        </is>
      </c>
      <c r="B69" s="76" t="inlineStr">
        <is>
          <t>🛡</t>
        </is>
      </c>
      <c r="C69" s="76" t="inlineStr">
        <is>
          <t>Armor</t>
        </is>
      </c>
      <c r="D69" s="76" t="n">
        <v>2</v>
      </c>
      <c r="E69" s="76" t="n">
        <v>25</v>
      </c>
      <c r="F69" s="87">
        <f>IF(E69=0,0,D69/E69)</f>
        <v/>
      </c>
      <c r="G69" s="76" t="inlineStr"/>
    </row>
    <row r="70">
      <c r="A70" s="76" t="inlineStr">
        <is>
          <t>Ocean</t>
        </is>
      </c>
      <c r="B70" s="76" t="inlineStr">
        <is>
          <t>🌊</t>
        </is>
      </c>
      <c r="C70" s="76" t="inlineStr">
        <is>
          <t>Tide</t>
        </is>
      </c>
      <c r="D70" s="76" t="n">
        <v>27</v>
      </c>
      <c r="E70" s="76" t="n">
        <v>37</v>
      </c>
      <c r="F70" s="87">
        <f>IF(E70=0,0,D70/E70)</f>
        <v/>
      </c>
      <c r="G70" s="76" t="inlineStr"/>
    </row>
    <row r="71">
      <c r="A71" s="76" t="inlineStr">
        <is>
          <t>Ocean</t>
        </is>
      </c>
      <c r="B71" s="76" t="inlineStr">
        <is>
          <t>🪽</t>
        </is>
      </c>
      <c r="C71" s="76" t="inlineStr">
        <is>
          <t>Flying</t>
        </is>
      </c>
      <c r="D71" s="76" t="n">
        <v>7</v>
      </c>
      <c r="E71" s="76" t="n">
        <v>37</v>
      </c>
      <c r="F71" s="87">
        <f>IF(E71=0,0,D71/E71)</f>
        <v/>
      </c>
      <c r="G71" s="76" t="inlineStr"/>
    </row>
    <row r="72">
      <c r="A72" s="76" t="inlineStr">
        <is>
          <t>Ocean</t>
        </is>
      </c>
      <c r="B72" s="76" t="inlineStr">
        <is>
          <t>🛡</t>
        </is>
      </c>
      <c r="C72" s="76" t="inlineStr">
        <is>
          <t>Armor</t>
        </is>
      </c>
      <c r="D72" s="76" t="n">
        <v>5</v>
      </c>
      <c r="E72" s="76" t="n">
        <v>37</v>
      </c>
      <c r="F72" s="87">
        <f>IF(E72=0,0,D72/E72)</f>
        <v/>
      </c>
      <c r="G72" s="76" t="inlineStr"/>
    </row>
    <row r="73">
      <c r="A73" s="76" t="inlineStr">
        <is>
          <t>Ocean</t>
        </is>
      </c>
      <c r="B73" s="76" t="inlineStr">
        <is>
          <t>🍃</t>
        </is>
      </c>
      <c r="C73" s="76" t="inlineStr">
        <is>
          <t>Evasive</t>
        </is>
      </c>
      <c r="D73" s="76" t="n">
        <v>5</v>
      </c>
      <c r="E73" s="76" t="n">
        <v>37</v>
      </c>
      <c r="F73" s="87">
        <f>IF(E73=0,0,D73/E73)</f>
        <v/>
      </c>
      <c r="G73" s="76" t="inlineStr"/>
    </row>
    <row r="74">
      <c r="A74" s="76" t="inlineStr">
        <is>
          <t>Ocean</t>
        </is>
      </c>
      <c r="B74" s="76" t="inlineStr">
        <is>
          <t>〰️</t>
        </is>
      </c>
      <c r="C74" s="76" t="inlineStr">
        <is>
          <t>Wave</t>
        </is>
      </c>
      <c r="D74" s="76" t="n">
        <v>4</v>
      </c>
      <c r="E74" s="76" t="n">
        <v>37</v>
      </c>
      <c r="F74" s="87">
        <f>IF(E74=0,0,D74/E74)</f>
        <v/>
      </c>
      <c r="G74" s="76" t="inlineStr">
        <is>
          <t>yes</t>
        </is>
      </c>
    </row>
    <row r="75">
      <c r="A75" s="76" t="inlineStr">
        <is>
          <t>Ocean</t>
        </is>
      </c>
      <c r="B75" s="76" t="inlineStr">
        <is>
          <t>⇔</t>
        </is>
      </c>
      <c r="C75" s="76" t="inlineStr">
        <is>
          <t>Fork</t>
        </is>
      </c>
      <c r="D75" s="76" t="n">
        <v>3</v>
      </c>
      <c r="E75" s="76" t="n">
        <v>37</v>
      </c>
      <c r="F75" s="87">
        <f>IF(E75=0,0,D75/E75)</f>
        <v/>
      </c>
      <c r="G75" s="76" t="inlineStr"/>
    </row>
    <row r="76">
      <c r="A76" s="76" t="inlineStr">
        <is>
          <t>Ocean</t>
        </is>
      </c>
      <c r="B76" s="76" t="inlineStr">
        <is>
          <t>⚙️</t>
        </is>
      </c>
      <c r="C76" s="76" t="inlineStr">
        <is>
          <t>Custom trigger</t>
        </is>
      </c>
      <c r="D76" s="76" t="n">
        <v>3</v>
      </c>
      <c r="E76" s="76" t="n">
        <v>37</v>
      </c>
      <c r="F76" s="87">
        <f>IF(E76=0,0,D76/E76)</f>
        <v/>
      </c>
      <c r="G76" s="76" t="inlineStr"/>
    </row>
    <row r="77">
      <c r="A77" s="76" t="inlineStr">
        <is>
          <t>Ocean</t>
        </is>
      </c>
      <c r="B77" s="76" t="inlineStr">
        <is>
          <t>☠</t>
        </is>
      </c>
      <c r="C77" s="76" t="inlineStr">
        <is>
          <t>Poison</t>
        </is>
      </c>
      <c r="D77" s="76" t="n">
        <v>3</v>
      </c>
      <c r="E77" s="76" t="n">
        <v>37</v>
      </c>
      <c r="F77" s="87">
        <f>IF(E77=0,0,D77/E77)</f>
        <v/>
      </c>
      <c r="G77" s="76" t="inlineStr"/>
    </row>
    <row r="78">
      <c r="A78" s="76" t="inlineStr">
        <is>
          <t>Volcano</t>
        </is>
      </c>
      <c r="B78" s="76" t="inlineStr">
        <is>
          <t>🪽</t>
        </is>
      </c>
      <c r="C78" s="76" t="inlineStr">
        <is>
          <t>Flying</t>
        </is>
      </c>
      <c r="D78" s="76" t="n">
        <v>5</v>
      </c>
      <c r="E78" s="76" t="n">
        <v>31</v>
      </c>
      <c r="F78" s="87">
        <f>IF(E78=0,0,D78/E78)</f>
        <v/>
      </c>
      <c r="G78" s="76" t="inlineStr"/>
    </row>
    <row r="79">
      <c r="A79" s="76" t="inlineStr">
        <is>
          <t>Volcano</t>
        </is>
      </c>
      <c r="B79" s="76" t="inlineStr"/>
      <c r="C79" s="76" t="inlineStr">
        <is>
          <t>Fire Arrow</t>
        </is>
      </c>
      <c r="D79" s="76" t="n">
        <v>4</v>
      </c>
      <c r="E79" s="76" t="n">
        <v>31</v>
      </c>
      <c r="F79" s="87">
        <f>IF(E79=0,0,D79/E79)</f>
        <v/>
      </c>
      <c r="G79" s="76" t="inlineStr">
        <is>
          <t>yes</t>
        </is>
      </c>
    </row>
    <row r="80">
      <c r="A80" s="76" t="inlineStr">
        <is>
          <t>Volcano</t>
        </is>
      </c>
      <c r="B80" s="76" t="inlineStr">
        <is>
          <t>☠</t>
        </is>
      </c>
      <c r="C80" s="76" t="inlineStr">
        <is>
          <t>Poison</t>
        </is>
      </c>
      <c r="D80" s="76" t="n">
        <v>3</v>
      </c>
      <c r="E80" s="76" t="n">
        <v>31</v>
      </c>
      <c r="F80" s="87">
        <f>IF(E80=0,0,D80/E80)</f>
        <v/>
      </c>
      <c r="G80" s="76" t="inlineStr"/>
    </row>
    <row r="81">
      <c r="A81" s="76" t="inlineStr">
        <is>
          <t>Volcano</t>
        </is>
      </c>
      <c r="B81" s="76" t="inlineStr">
        <is>
          <t>🛡</t>
        </is>
      </c>
      <c r="C81" s="76" t="inlineStr">
        <is>
          <t>Armor</t>
        </is>
      </c>
      <c r="D81" s="76" t="n">
        <v>3</v>
      </c>
      <c r="E81" s="76" t="n">
        <v>31</v>
      </c>
      <c r="F81" s="87">
        <f>IF(E81=0,0,D81/E81)</f>
        <v/>
      </c>
      <c r="G81" s="76" t="inlineStr"/>
    </row>
    <row r="82">
      <c r="A82" s="76" t="inlineStr">
        <is>
          <t>Volcano</t>
        </is>
      </c>
      <c r="B82" s="76" t="inlineStr">
        <is>
          <t>⚙️</t>
        </is>
      </c>
      <c r="C82" s="76" t="inlineStr">
        <is>
          <t>Custom trigger</t>
        </is>
      </c>
      <c r="D82" s="76" t="n">
        <v>2</v>
      </c>
      <c r="E82" s="76" t="n">
        <v>31</v>
      </c>
      <c r="F82" s="87">
        <f>IF(E82=0,0,D82/E82)</f>
        <v/>
      </c>
      <c r="G82" s="76" t="inlineStr"/>
    </row>
    <row r="83">
      <c r="A83" s="76" t="inlineStr">
        <is>
          <t>Volcano</t>
        </is>
      </c>
      <c r="B83" s="76" t="inlineStr">
        <is>
          <t>🔥</t>
        </is>
      </c>
      <c r="C83" s="76" t="inlineStr">
        <is>
          <t>Immolation</t>
        </is>
      </c>
      <c r="D83" s="76" t="n">
        <v>2</v>
      </c>
      <c r="E83" s="76" t="n">
        <v>31</v>
      </c>
      <c r="F83" s="87">
        <f>IF(E83=0,0,D83/E83)</f>
        <v/>
      </c>
      <c r="G83" s="76" t="inlineStr"/>
    </row>
    <row r="84">
      <c r="A84" s="76" t="inlineStr">
        <is>
          <t>Volcano</t>
        </is>
      </c>
      <c r="B84" s="76" t="inlineStr">
        <is>
          <t>🏜️</t>
        </is>
      </c>
      <c r="C84" s="76" t="inlineStr">
        <is>
          <t>Dry</t>
        </is>
      </c>
      <c r="D84" s="76" t="n">
        <v>2</v>
      </c>
      <c r="E84" s="76" t="n">
        <v>31</v>
      </c>
      <c r="F84" s="87">
        <f>IF(E84=0,0,D84/E84)</f>
        <v/>
      </c>
      <c r="G84" s="76" t="inlineStr"/>
    </row>
    <row r="85">
      <c r="A85" s="76" t="inlineStr">
        <is>
          <t>Volcano</t>
        </is>
      </c>
      <c r="B85" s="76" t="inlineStr">
        <is>
          <t>🍃</t>
        </is>
      </c>
      <c r="C85" s="76" t="inlineStr">
        <is>
          <t>Evasive</t>
        </is>
      </c>
      <c r="D85" s="76" t="n">
        <v>2</v>
      </c>
      <c r="E85" s="76" t="n">
        <v>31</v>
      </c>
      <c r="F85" s="87">
        <f>IF(E85=0,0,D85/E85)</f>
        <v/>
      </c>
      <c r="G85" s="76" t="inlineStr"/>
    </row>
    <row r="86">
      <c r="A86" s="76" t="inlineStr">
        <is>
          <t>River</t>
        </is>
      </c>
      <c r="B86" s="76" t="inlineStr">
        <is>
          <t>🛡</t>
        </is>
      </c>
      <c r="C86" s="76" t="inlineStr">
        <is>
          <t>Armor</t>
        </is>
      </c>
      <c r="D86" s="76" t="n">
        <v>5</v>
      </c>
      <c r="E86" s="76" t="n">
        <v>27</v>
      </c>
      <c r="F86" s="87">
        <f>IF(E86=0,0,D86/E86)</f>
        <v/>
      </c>
      <c r="G86" s="76" t="inlineStr"/>
    </row>
    <row r="87">
      <c r="A87" s="76" t="inlineStr">
        <is>
          <t>River</t>
        </is>
      </c>
      <c r="B87" s="76" t="inlineStr">
        <is>
          <t>🌊</t>
        </is>
      </c>
      <c r="C87" s="76" t="inlineStr">
        <is>
          <t>Tide</t>
        </is>
      </c>
      <c r="D87" s="76" t="n">
        <v>3</v>
      </c>
      <c r="E87" s="76" t="n">
        <v>27</v>
      </c>
      <c r="F87" s="87">
        <f>IF(E87=0,0,D87/E87)</f>
        <v/>
      </c>
      <c r="G87" s="76" t="inlineStr"/>
    </row>
    <row r="88">
      <c r="A88" s="76" t="inlineStr">
        <is>
          <t>River</t>
        </is>
      </c>
      <c r="B88" s="76" t="inlineStr">
        <is>
          <t>🪃</t>
        </is>
      </c>
      <c r="C88" s="76" t="inlineStr">
        <is>
          <t>Boomerang</t>
        </is>
      </c>
      <c r="D88" s="76" t="n">
        <v>3</v>
      </c>
      <c r="E88" s="76" t="n">
        <v>27</v>
      </c>
      <c r="F88" s="87">
        <f>IF(E88=0,0,D88/E88)</f>
        <v/>
      </c>
      <c r="G88" s="76" t="inlineStr">
        <is>
          <t>yes</t>
        </is>
      </c>
    </row>
    <row r="89">
      <c r="A89" s="76" t="inlineStr">
        <is>
          <t>River</t>
        </is>
      </c>
      <c r="B89" s="76" t="inlineStr">
        <is>
          <t>🪽</t>
        </is>
      </c>
      <c r="C89" s="76" t="inlineStr">
        <is>
          <t>Flying</t>
        </is>
      </c>
      <c r="D89" s="76" t="n">
        <v>2</v>
      </c>
      <c r="E89" s="76" t="n">
        <v>27</v>
      </c>
      <c r="F89" s="87">
        <f>IF(E89=0,0,D89/E89)</f>
        <v/>
      </c>
      <c r="G89" s="76" t="inlineStr"/>
    </row>
    <row r="90">
      <c r="A90" s="76" t="inlineStr">
        <is>
          <t>River</t>
        </is>
      </c>
      <c r="B90" s="76" t="inlineStr"/>
      <c r="C90" s="76" t="inlineStr">
        <is>
          <t>Guardian</t>
        </is>
      </c>
      <c r="D90" s="76" t="n">
        <v>2</v>
      </c>
      <c r="E90" s="76" t="n">
        <v>27</v>
      </c>
      <c r="F90" s="87">
        <f>IF(E90=0,0,D90/E90)</f>
        <v/>
      </c>
      <c r="G90" s="76" t="inlineStr">
        <is>
          <t>yes</t>
        </is>
      </c>
    </row>
    <row r="91">
      <c r="A91" s="76" t="inlineStr">
        <is>
          <t>River</t>
        </is>
      </c>
      <c r="B91" s="76" t="inlineStr">
        <is>
          <t>⚙️</t>
        </is>
      </c>
      <c r="C91" s="76" t="inlineStr">
        <is>
          <t>Custom trigger</t>
        </is>
      </c>
      <c r="D91" s="76" t="n">
        <v>1</v>
      </c>
      <c r="E91" s="76" t="n">
        <v>27</v>
      </c>
      <c r="F91" s="87">
        <f>IF(E91=0,0,D91/E91)</f>
        <v/>
      </c>
      <c r="G91" s="76" t="inlineStr"/>
    </row>
    <row r="92">
      <c r="A92" s="76" t="inlineStr">
        <is>
          <t>River</t>
        </is>
      </c>
      <c r="B92" s="76" t="inlineStr">
        <is>
          <t>💚</t>
        </is>
      </c>
      <c r="C92" s="76" t="inlineStr">
        <is>
          <t>Regeneration</t>
        </is>
      </c>
      <c r="D92" s="76" t="n">
        <v>1</v>
      </c>
      <c r="E92" s="76" t="n">
        <v>27</v>
      </c>
      <c r="F92" s="87">
        <f>IF(E92=0,0,D92/E92)</f>
        <v/>
      </c>
      <c r="G92" s="76" t="inlineStr"/>
    </row>
    <row r="93">
      <c r="A93" s="76" t="inlineStr">
        <is>
          <t>River</t>
        </is>
      </c>
      <c r="B93" s="76" t="inlineStr">
        <is>
          <t>🐾</t>
        </is>
      </c>
      <c r="C93" s="76" t="inlineStr">
        <is>
          <t>Pounce</t>
        </is>
      </c>
      <c r="D93" s="76" t="n">
        <v>1</v>
      </c>
      <c r="E93" s="76" t="n">
        <v>27</v>
      </c>
      <c r="F93" s="87">
        <f>IF(E93=0,0,D93/E93)</f>
        <v/>
      </c>
      <c r="G93" s="76" t="inlineStr"/>
    </row>
    <row r="94">
      <c r="A94" s="76" t="inlineStr">
        <is>
          <t>Desert</t>
        </is>
      </c>
      <c r="B94" s="76" t="inlineStr">
        <is>
          <t>🏜️</t>
        </is>
      </c>
      <c r="C94" s="76" t="inlineStr">
        <is>
          <t>Dry</t>
        </is>
      </c>
      <c r="D94" s="76" t="n">
        <v>10</v>
      </c>
      <c r="E94" s="76" t="n">
        <v>10</v>
      </c>
      <c r="F94" s="87">
        <f>IF(E94=0,0,D94/E94)</f>
        <v/>
      </c>
      <c r="G94" s="76" t="inlineStr">
        <is>
          <t>yes</t>
        </is>
      </c>
    </row>
    <row r="95">
      <c r="A95" s="76" t="inlineStr">
        <is>
          <t>Desert</t>
        </is>
      </c>
      <c r="B95" s="76" t="inlineStr">
        <is>
          <t>👁️</t>
        </is>
      </c>
      <c r="C95" s="76" t="inlineStr">
        <is>
          <t>Darksight</t>
        </is>
      </c>
      <c r="D95" s="76" t="n">
        <v>2</v>
      </c>
      <c r="E95" s="76" t="n">
        <v>10</v>
      </c>
      <c r="F95" s="87">
        <f>IF(E95=0,0,D95/E95)</f>
        <v/>
      </c>
      <c r="G95" s="76" t="inlineStr"/>
    </row>
    <row r="96">
      <c r="A96" s="76" t="inlineStr">
        <is>
          <t>Desert</t>
        </is>
      </c>
      <c r="B96" s="76" t="inlineStr">
        <is>
          <t>👢</t>
        </is>
      </c>
      <c r="C96" s="76" t="inlineStr">
        <is>
          <t>Quick</t>
        </is>
      </c>
      <c r="D96" s="76" t="n">
        <v>2</v>
      </c>
      <c r="E96" s="76" t="n">
        <v>10</v>
      </c>
      <c r="F96" s="87">
        <f>IF(E96=0,0,D96/E96)</f>
        <v/>
      </c>
      <c r="G96" s="76" t="inlineStr"/>
    </row>
    <row r="97">
      <c r="A97" s="76" t="inlineStr">
        <is>
          <t>Desert</t>
        </is>
      </c>
      <c r="B97" s="76" t="inlineStr">
        <is>
          <t>☠</t>
        </is>
      </c>
      <c r="C97" s="76" t="inlineStr">
        <is>
          <t>Poison</t>
        </is>
      </c>
      <c r="D97" s="76" t="n">
        <v>2</v>
      </c>
      <c r="E97" s="76" t="n">
        <v>10</v>
      </c>
      <c r="F97" s="87">
        <f>IF(E97=0,0,D97/E97)</f>
        <v/>
      </c>
      <c r="G97" s="76" t="inlineStr"/>
    </row>
    <row r="98">
      <c r="A98" s="76" t="inlineStr">
        <is>
          <t>Desert</t>
        </is>
      </c>
      <c r="B98" s="76" t="inlineStr">
        <is>
          <t>🌵</t>
        </is>
      </c>
      <c r="C98" s="76" t="inlineStr">
        <is>
          <t>Thorns</t>
        </is>
      </c>
      <c r="D98" s="76" t="n">
        <v>2</v>
      </c>
      <c r="E98" s="76" t="n">
        <v>10</v>
      </c>
      <c r="F98" s="87">
        <f>IF(E98=0,0,D98/E98)</f>
        <v/>
      </c>
      <c r="G98" s="76" t="inlineStr">
        <is>
          <t>yes</t>
        </is>
      </c>
    </row>
    <row r="99">
      <c r="A99" s="76" t="inlineStr">
        <is>
          <t>Desert</t>
        </is>
      </c>
      <c r="B99" s="76" t="inlineStr">
        <is>
          <t>🫂</t>
        </is>
      </c>
      <c r="C99" s="76" t="inlineStr">
        <is>
          <t>Sociable</t>
        </is>
      </c>
      <c r="D99" s="76" t="n">
        <v>1</v>
      </c>
      <c r="E99" s="76" t="n">
        <v>10</v>
      </c>
      <c r="F99" s="87">
        <f>IF(E99=0,0,D99/E99)</f>
        <v/>
      </c>
      <c r="G99" s="76" t="inlineStr"/>
    </row>
    <row r="100">
      <c r="A100" s="76" t="inlineStr">
        <is>
          <t>Desert</t>
        </is>
      </c>
      <c r="B100" s="76" t="inlineStr">
        <is>
          <t>⇔</t>
        </is>
      </c>
      <c r="C100" s="76" t="inlineStr">
        <is>
          <t>Fork</t>
        </is>
      </c>
      <c r="D100" s="76" t="n">
        <v>1</v>
      </c>
      <c r="E100" s="76" t="n">
        <v>10</v>
      </c>
      <c r="F100" s="87">
        <f>IF(E100=0,0,D100/E100)</f>
        <v/>
      </c>
      <c r="G100" s="76" t="inlineStr"/>
    </row>
    <row r="101">
      <c r="A101" s="76" t="inlineStr">
        <is>
          <t>Desert</t>
        </is>
      </c>
      <c r="B101" s="76" t="inlineStr">
        <is>
          <t>🛡</t>
        </is>
      </c>
      <c r="C101" s="76" t="inlineStr">
        <is>
          <t>Armor</t>
        </is>
      </c>
      <c r="D101" s="76" t="n">
        <v>1</v>
      </c>
      <c r="E101" s="76" t="n">
        <v>10</v>
      </c>
      <c r="F101" s="87">
        <f>IF(E101=0,0,D101/E101)</f>
        <v/>
      </c>
      <c r="G101" s="76" t="inlineStr"/>
    </row>
    <row r="102">
      <c r="A102" s="76" t="inlineStr">
        <is>
          <t>Forest</t>
        </is>
      </c>
      <c r="B102" s="76" t="inlineStr">
        <is>
          <t>🪽</t>
        </is>
      </c>
      <c r="C102" s="76" t="inlineStr">
        <is>
          <t>Flying</t>
        </is>
      </c>
      <c r="D102" s="76" t="n">
        <v>2</v>
      </c>
      <c r="E102" s="76" t="n">
        <v>22</v>
      </c>
      <c r="F102" s="87">
        <f>IF(E102=0,0,D102/E102)</f>
        <v/>
      </c>
      <c r="G102" s="76" t="inlineStr">
        <is>
          <t>yes</t>
        </is>
      </c>
    </row>
    <row r="103">
      <c r="A103" s="76" t="inlineStr">
        <is>
          <t>Forest</t>
        </is>
      </c>
      <c r="B103" s="76" t="inlineStr">
        <is>
          <t>🌵</t>
        </is>
      </c>
      <c r="C103" s="76" t="inlineStr">
        <is>
          <t>Thorns</t>
        </is>
      </c>
      <c r="D103" s="76" t="n">
        <v>2</v>
      </c>
      <c r="E103" s="76" t="n">
        <v>22</v>
      </c>
      <c r="F103" s="87">
        <f>IF(E103=0,0,D103/E103)</f>
        <v/>
      </c>
      <c r="G103" s="76" t="inlineStr">
        <is>
          <t>yes</t>
        </is>
      </c>
    </row>
    <row r="104">
      <c r="A104" s="76" t="inlineStr">
        <is>
          <t>Forest</t>
        </is>
      </c>
      <c r="B104" s="76" t="inlineStr">
        <is>
          <t>🐜</t>
        </is>
      </c>
      <c r="C104" s="76" t="inlineStr">
        <is>
          <t>Swarm</t>
        </is>
      </c>
      <c r="D104" s="76" t="n">
        <v>1</v>
      </c>
      <c r="E104" s="76" t="n">
        <v>22</v>
      </c>
      <c r="F104" s="87">
        <f>IF(E104=0,0,D104/E104)</f>
        <v/>
      </c>
      <c r="G104" s="76" t="inlineStr"/>
    </row>
    <row r="105">
      <c r="A105" s="76" t="inlineStr">
        <is>
          <t>Forest</t>
        </is>
      </c>
      <c r="B105" s="76" t="inlineStr">
        <is>
          <t>💚</t>
        </is>
      </c>
      <c r="C105" s="76" t="inlineStr">
        <is>
          <t>Regeneration</t>
        </is>
      </c>
      <c r="D105" s="76" t="n">
        <v>1</v>
      </c>
      <c r="E105" s="76" t="n">
        <v>22</v>
      </c>
      <c r="F105" s="87">
        <f>IF(E105=0,0,D105/E105)</f>
        <v/>
      </c>
      <c r="G105" s="76" t="inlineStr"/>
    </row>
    <row r="106">
      <c r="A106" s="76" t="inlineStr">
        <is>
          <t>Forest</t>
        </is>
      </c>
      <c r="B106" s="76" t="inlineStr">
        <is>
          <t>☀️</t>
        </is>
      </c>
      <c r="C106" s="76" t="inlineStr">
        <is>
          <t>Diurnal</t>
        </is>
      </c>
      <c r="D106" s="76" t="n">
        <v>1</v>
      </c>
      <c r="E106" s="76" t="n">
        <v>22</v>
      </c>
      <c r="F106" s="87">
        <f>IF(E106=0,0,D106/E106)</f>
        <v/>
      </c>
      <c r="G106" s="76" t="inlineStr"/>
    </row>
    <row r="107">
      <c r="A107" s="76" t="inlineStr">
        <is>
          <t>Forest</t>
        </is>
      </c>
      <c r="B107" s="76" t="inlineStr">
        <is>
          <t>🍃</t>
        </is>
      </c>
      <c r="C107" s="76" t="inlineStr">
        <is>
          <t>Evasive</t>
        </is>
      </c>
      <c r="D107" s="76" t="n">
        <v>1</v>
      </c>
      <c r="E107" s="76" t="n">
        <v>22</v>
      </c>
      <c r="F107" s="87">
        <f>IF(E107=0,0,D107/E107)</f>
        <v/>
      </c>
      <c r="G107" s="76" t="inlineStr"/>
    </row>
    <row r="108">
      <c r="A108" s="76" t="inlineStr">
        <is>
          <t>Forest</t>
        </is>
      </c>
      <c r="B108" s="76" t="inlineStr">
        <is>
          <t>🗡️</t>
        </is>
      </c>
      <c r="C108" s="76" t="inlineStr">
        <is>
          <t>Backstab</t>
        </is>
      </c>
      <c r="D108" s="76" t="n">
        <v>1</v>
      </c>
      <c r="E108" s="76" t="n">
        <v>22</v>
      </c>
      <c r="F108" s="87">
        <f>IF(E108=0,0,D108/E108)</f>
        <v/>
      </c>
      <c r="G108" s="76" t="inlineStr"/>
    </row>
    <row r="109">
      <c r="A109" s="76" t="inlineStr">
        <is>
          <t>Forest</t>
        </is>
      </c>
      <c r="B109" s="76" t="inlineStr">
        <is>
          <t>👯</t>
        </is>
      </c>
      <c r="C109" s="76" t="inlineStr">
        <is>
          <t>Twin</t>
        </is>
      </c>
      <c r="D109" s="76" t="n">
        <v>1</v>
      </c>
      <c r="E109" s="76" t="n">
        <v>22</v>
      </c>
      <c r="F109" s="87">
        <f>IF(E109=0,0,D109/E109)</f>
        <v/>
      </c>
      <c r="G109" s="76" t="inlineStr"/>
    </row>
    <row r="110">
      <c r="A110" s="76" t="inlineStr">
        <is>
          <t>Mountain</t>
        </is>
      </c>
      <c r="B110" s="76" t="inlineStr">
        <is>
          <t>🪽</t>
        </is>
      </c>
      <c r="C110" s="76" t="inlineStr">
        <is>
          <t>Flying</t>
        </is>
      </c>
      <c r="D110" s="76" t="n">
        <v>5</v>
      </c>
      <c r="E110" s="76" t="n">
        <v>12</v>
      </c>
      <c r="F110" s="87">
        <f>IF(E110=0,0,D110/E110)</f>
        <v/>
      </c>
      <c r="G110" s="76" t="inlineStr">
        <is>
          <t>yes</t>
        </is>
      </c>
    </row>
    <row r="111">
      <c r="A111" s="76" t="inlineStr">
        <is>
          <t>Mountain</t>
        </is>
      </c>
      <c r="B111" s="76" t="inlineStr">
        <is>
          <t>⚙️</t>
        </is>
      </c>
      <c r="C111" s="76" t="inlineStr">
        <is>
          <t>Custom trigger</t>
        </is>
      </c>
      <c r="D111" s="76" t="n">
        <v>2</v>
      </c>
      <c r="E111" s="76" t="n">
        <v>12</v>
      </c>
      <c r="F111" s="87">
        <f>IF(E111=0,0,D111/E111)</f>
        <v/>
      </c>
      <c r="G111" s="76" t="inlineStr"/>
    </row>
    <row r="112">
      <c r="A112" s="76" t="inlineStr">
        <is>
          <t>Mountain</t>
        </is>
      </c>
      <c r="B112" s="76" t="inlineStr"/>
      <c r="C112" s="76" t="inlineStr">
        <is>
          <t>Daunt</t>
        </is>
      </c>
      <c r="D112" s="76" t="n">
        <v>1</v>
      </c>
      <c r="E112" s="76" t="n">
        <v>12</v>
      </c>
      <c r="F112" s="87">
        <f>IF(E112=0,0,D112/E112)</f>
        <v/>
      </c>
      <c r="G112" s="76" t="inlineStr"/>
    </row>
    <row r="113">
      <c r="A113" s="76" t="inlineStr">
        <is>
          <t>Mountain</t>
        </is>
      </c>
      <c r="B113" s="76" t="inlineStr"/>
      <c r="C113" s="76" t="inlineStr">
        <is>
          <t>Skyfall</t>
        </is>
      </c>
      <c r="D113" s="76" t="n">
        <v>1</v>
      </c>
      <c r="E113" s="76" t="n">
        <v>12</v>
      </c>
      <c r="F113" s="87">
        <f>IF(E113=0,0,D113/E113)</f>
        <v/>
      </c>
      <c r="G113" s="76" t="inlineStr"/>
    </row>
    <row r="114">
      <c r="A114" s="76" t="inlineStr">
        <is>
          <t>Mountain</t>
        </is>
      </c>
      <c r="B114" s="76" t="inlineStr"/>
      <c r="C114" s="76" t="inlineStr">
        <is>
          <t>Guardian</t>
        </is>
      </c>
      <c r="D114" s="76" t="n">
        <v>1</v>
      </c>
      <c r="E114" s="76" t="n">
        <v>12</v>
      </c>
      <c r="F114" s="87">
        <f>IF(E114=0,0,D114/E114)</f>
        <v/>
      </c>
      <c r="G114" s="76" t="inlineStr"/>
    </row>
    <row r="115">
      <c r="A115" s="76" t="inlineStr">
        <is>
          <t>Mountain</t>
        </is>
      </c>
      <c r="B115" s="76" t="inlineStr">
        <is>
          <t>🌙</t>
        </is>
      </c>
      <c r="C115" s="76" t="inlineStr">
        <is>
          <t>Nocturnal</t>
        </is>
      </c>
      <c r="D115" s="76" t="n">
        <v>1</v>
      </c>
      <c r="E115" s="76" t="n">
        <v>12</v>
      </c>
      <c r="F115" s="87">
        <f>IF(E115=0,0,D115/E115)</f>
        <v/>
      </c>
      <c r="G115" s="76" t="inlineStr"/>
    </row>
    <row r="116">
      <c r="A116" s="76" t="inlineStr">
        <is>
          <t>Mountain</t>
        </is>
      </c>
      <c r="B116" s="76" t="inlineStr">
        <is>
          <t>🎯</t>
        </is>
      </c>
      <c r="C116" s="76" t="inlineStr">
        <is>
          <t>Expose</t>
        </is>
      </c>
      <c r="D116" s="76" t="n">
        <v>1</v>
      </c>
      <c r="E116" s="76" t="n">
        <v>12</v>
      </c>
      <c r="F116" s="87">
        <f>IF(E116=0,0,D116/E116)</f>
        <v/>
      </c>
      <c r="G116" s="76" t="inlineStr"/>
    </row>
    <row r="117">
      <c r="A117" s="76" t="inlineStr">
        <is>
          <t>Mountain</t>
        </is>
      </c>
      <c r="B117" s="76" t="inlineStr">
        <is>
          <t>💚</t>
        </is>
      </c>
      <c r="C117" s="76" t="inlineStr">
        <is>
          <t>Healing</t>
        </is>
      </c>
      <c r="D117" s="76" t="n">
        <v>1</v>
      </c>
      <c r="E117" s="76" t="n">
        <v>12</v>
      </c>
      <c r="F117" s="87">
        <f>IF(E117=0,0,D117/E117)</f>
        <v/>
      </c>
      <c r="G117" s="76" t="inlineStr"/>
    </row>
    <row r="118">
      <c r="A118" s="76" t="inlineStr">
        <is>
          <t>Savanna</t>
        </is>
      </c>
      <c r="B118" s="76" t="inlineStr">
        <is>
          <t>👢</t>
        </is>
      </c>
      <c r="C118" s="76" t="inlineStr">
        <is>
          <t>Quick</t>
        </is>
      </c>
      <c r="D118" s="76" t="n">
        <v>3</v>
      </c>
      <c r="E118" s="76" t="n">
        <v>15</v>
      </c>
      <c r="F118" s="87">
        <f>IF(E118=0,0,D118/E118)</f>
        <v/>
      </c>
      <c r="G118" s="76" t="inlineStr">
        <is>
          <t>yes</t>
        </is>
      </c>
    </row>
    <row r="119">
      <c r="A119" s="76" t="inlineStr">
        <is>
          <t>Savanna</t>
        </is>
      </c>
      <c r="B119" s="76" t="inlineStr">
        <is>
          <t>🛡</t>
        </is>
      </c>
      <c r="C119" s="76" t="inlineStr">
        <is>
          <t>Armor</t>
        </is>
      </c>
      <c r="D119" s="76" t="n">
        <v>3</v>
      </c>
      <c r="E119" s="76" t="n">
        <v>15</v>
      </c>
      <c r="F119" s="87">
        <f>IF(E119=0,0,D119/E119)</f>
        <v/>
      </c>
      <c r="G119" s="76" t="inlineStr"/>
    </row>
    <row r="120">
      <c r="A120" s="76" t="inlineStr">
        <is>
          <t>Savanna</t>
        </is>
      </c>
      <c r="B120" s="76" t="inlineStr">
        <is>
          <t>⚙️</t>
        </is>
      </c>
      <c r="C120" s="76" t="inlineStr">
        <is>
          <t>Custom trigger</t>
        </is>
      </c>
      <c r="D120" s="76" t="n">
        <v>2</v>
      </c>
      <c r="E120" s="76" t="n">
        <v>15</v>
      </c>
      <c r="F120" s="87">
        <f>IF(E120=0,0,D120/E120)</f>
        <v/>
      </c>
      <c r="G120" s="76" t="inlineStr"/>
    </row>
    <row r="121">
      <c r="A121" s="76" t="inlineStr">
        <is>
          <t>Savanna</t>
        </is>
      </c>
      <c r="B121" s="76" t="inlineStr">
        <is>
          <t>🌵</t>
        </is>
      </c>
      <c r="C121" s="76" t="inlineStr">
        <is>
          <t>Thorns</t>
        </is>
      </c>
      <c r="D121" s="76" t="n">
        <v>2</v>
      </c>
      <c r="E121" s="76" t="n">
        <v>15</v>
      </c>
      <c r="F121" s="87">
        <f>IF(E121=0,0,D121/E121)</f>
        <v/>
      </c>
      <c r="G121" s="76" t="inlineStr">
        <is>
          <t>yes</t>
        </is>
      </c>
    </row>
    <row r="122">
      <c r="A122" s="76" t="inlineStr">
        <is>
          <t>Savanna</t>
        </is>
      </c>
      <c r="B122" s="76" t="inlineStr">
        <is>
          <t>🍃</t>
        </is>
      </c>
      <c r="C122" s="76" t="inlineStr">
        <is>
          <t>Evasive</t>
        </is>
      </c>
      <c r="D122" s="76" t="n">
        <v>2</v>
      </c>
      <c r="E122" s="76" t="n">
        <v>15</v>
      </c>
      <c r="F122" s="87">
        <f>IF(E122=0,0,D122/E122)</f>
        <v/>
      </c>
      <c r="G122" s="76" t="inlineStr"/>
    </row>
    <row r="123">
      <c r="A123" s="76" t="inlineStr">
        <is>
          <t>Savanna</t>
        </is>
      </c>
      <c r="B123" s="76" t="inlineStr">
        <is>
          <t>🐘</t>
        </is>
      </c>
      <c r="C123" s="76" t="inlineStr">
        <is>
          <t>Stampede</t>
        </is>
      </c>
      <c r="D123" s="76" t="n">
        <v>1</v>
      </c>
      <c r="E123" s="76" t="n">
        <v>15</v>
      </c>
      <c r="F123" s="87">
        <f>IF(E123=0,0,D123/E123)</f>
        <v/>
      </c>
      <c r="G123" s="76" t="inlineStr"/>
    </row>
    <row r="124">
      <c r="A124" s="76" t="inlineStr">
        <is>
          <t>Savanna</t>
        </is>
      </c>
      <c r="B124" s="76" t="inlineStr"/>
      <c r="C124" s="76" t="inlineStr">
        <is>
          <t>Siege</t>
        </is>
      </c>
      <c r="D124" s="76" t="n">
        <v>1</v>
      </c>
      <c r="E124" s="76" t="n">
        <v>15</v>
      </c>
      <c r="F124" s="87">
        <f>IF(E124=0,0,D124/E124)</f>
        <v/>
      </c>
      <c r="G124" s="76" t="inlineStr"/>
    </row>
    <row r="125">
      <c r="A125" s="76" t="inlineStr">
        <is>
          <t>Savanna</t>
        </is>
      </c>
      <c r="B125" s="76" t="inlineStr">
        <is>
          <t>⛏️</t>
        </is>
      </c>
      <c r="C125" s="76" t="inlineStr">
        <is>
          <t>Demolisher</t>
        </is>
      </c>
      <c r="D125" s="76" t="n">
        <v>1</v>
      </c>
      <c r="E125" s="76" t="n">
        <v>15</v>
      </c>
      <c r="F125" s="87">
        <f>IF(E125=0,0,D125/E125)</f>
        <v/>
      </c>
      <c r="G125" s="76" t="inlineStr"/>
    </row>
    <row r="126">
      <c r="A126" s="76" t="inlineStr">
        <is>
          <t>Village and farm</t>
        </is>
      </c>
      <c r="B126" s="76" t="inlineStr">
        <is>
          <t>🛡️</t>
        </is>
      </c>
      <c r="C126" s="76" t="inlineStr">
        <is>
          <t>Shield Call</t>
        </is>
      </c>
      <c r="D126" s="76" t="n">
        <v>1</v>
      </c>
      <c r="E126" s="76" t="n">
        <v>11</v>
      </c>
      <c r="F126" s="87">
        <f>IF(E126=0,0,D126/E126)</f>
        <v/>
      </c>
      <c r="G126" s="76" t="inlineStr"/>
    </row>
    <row r="127">
      <c r="A127" s="76" t="inlineStr">
        <is>
          <t>Village and farm</t>
        </is>
      </c>
      <c r="B127" s="76" t="inlineStr">
        <is>
          <t>🐘</t>
        </is>
      </c>
      <c r="C127" s="76" t="inlineStr">
        <is>
          <t>Stampede</t>
        </is>
      </c>
      <c r="D127" s="76" t="n">
        <v>1</v>
      </c>
      <c r="E127" s="76" t="n">
        <v>11</v>
      </c>
      <c r="F127" s="87">
        <f>IF(E127=0,0,D127/E127)</f>
        <v/>
      </c>
      <c r="G127" s="76" t="inlineStr"/>
    </row>
    <row r="128">
      <c r="A128" s="76" t="inlineStr">
        <is>
          <t>Village and farm</t>
        </is>
      </c>
      <c r="B128" s="76" t="inlineStr">
        <is>
          <t>🎖️</t>
        </is>
      </c>
      <c r="C128" s="76" t="inlineStr">
        <is>
          <t>Loyal</t>
        </is>
      </c>
      <c r="D128" s="76" t="n">
        <v>1</v>
      </c>
      <c r="E128" s="76" t="n">
        <v>11</v>
      </c>
      <c r="F128" s="87">
        <f>IF(E128=0,0,D128/E128)</f>
        <v/>
      </c>
      <c r="G128" s="76" t="inlineStr"/>
    </row>
    <row r="129">
      <c r="A129" s="76" t="inlineStr">
        <is>
          <t>Village and farm</t>
        </is>
      </c>
      <c r="B129" s="76" t="inlineStr">
        <is>
          <t>🗡️👑</t>
        </is>
      </c>
      <c r="C129" s="76" t="inlineStr">
        <is>
          <t>Usurper</t>
        </is>
      </c>
      <c r="D129" s="76" t="n">
        <v>1</v>
      </c>
      <c r="E129" s="76" t="n">
        <v>11</v>
      </c>
      <c r="F129" s="87">
        <f>IF(E129=0,0,D129/E129)</f>
        <v/>
      </c>
      <c r="G129" s="76" t="inlineStr"/>
    </row>
    <row r="130">
      <c r="A130" s="76" t="inlineStr">
        <is>
          <t>Village and farm</t>
        </is>
      </c>
      <c r="B130" s="76" t="inlineStr"/>
      <c r="C130" s="76" t="inlineStr">
        <is>
          <t>Arrow</t>
        </is>
      </c>
      <c r="D130" s="76" t="n">
        <v>1</v>
      </c>
      <c r="E130" s="76" t="n">
        <v>11</v>
      </c>
      <c r="F130" s="87">
        <f>IF(E130=0,0,D130/E130)</f>
        <v/>
      </c>
      <c r="G130" s="76" t="inlineStr"/>
    </row>
    <row r="131">
      <c r="A131" s="76" t="inlineStr">
        <is>
          <t>Village and farm</t>
        </is>
      </c>
      <c r="B131" s="76" t="inlineStr">
        <is>
          <t>🪽</t>
        </is>
      </c>
      <c r="C131" s="76" t="inlineStr">
        <is>
          <t>Flying</t>
        </is>
      </c>
      <c r="D131" s="76" t="n">
        <v>1</v>
      </c>
      <c r="E131" s="76" t="n">
        <v>11</v>
      </c>
      <c r="F131" s="87">
        <f>IF(E131=0,0,D131/E131)</f>
        <v/>
      </c>
      <c r="G131" s="76" t="inlineStr"/>
    </row>
    <row r="132">
      <c r="A132" s="76" t="inlineStr">
        <is>
          <t>Village and farm</t>
        </is>
      </c>
      <c r="B132" s="76" t="inlineStr">
        <is>
          <t>🗡️</t>
        </is>
      </c>
      <c r="C132" s="76" t="inlineStr">
        <is>
          <t>Backstab</t>
        </is>
      </c>
      <c r="D132" s="76" t="n">
        <v>1</v>
      </c>
      <c r="E132" s="76" t="n">
        <v>11</v>
      </c>
      <c r="F132" s="87">
        <f>IF(E132=0,0,D132/E132)</f>
        <v/>
      </c>
      <c r="G132" s="76" t="inlineStr"/>
    </row>
    <row r="134">
      <c r="A134" s="86" t="inlineStr">
        <is>
          <t>Proposed subfactions (design only, not in the game yet)</t>
        </is>
      </c>
    </row>
    <row r="135">
      <c r="A135" s="77" t="inlineStr">
        <is>
          <t>Stats checked against the stat budget v3 (2026-10-17) at Level 1: N = 20 + 2×Level + Rarity + 6×Wait + 0.5×Wait² + 4×Lumber + 0.4×Lumber² (Common 1, Uncommon 2, Rare 3). Skills = the budget cost of the card's skills (Skill N values sheet).</t>
        </is>
      </c>
    </row>
    <row r="136">
      <c r="A136" s="82" t="inlineStr">
        <is>
          <t>Subfaction</t>
        </is>
      </c>
      <c r="B136" s="82" t="inlineStr">
        <is>
          <t>Theme</t>
        </is>
      </c>
      <c r="C136" s="82" t="inlineStr">
        <is>
          <t>Signature skills</t>
        </is>
      </c>
      <c r="D136" s="82" t="inlineStr">
        <is>
          <t>Card</t>
        </is>
      </c>
      <c r="E136" s="82" t="inlineStr">
        <is>
          <t>Animal</t>
        </is>
      </c>
      <c r="F136" s="82" t="inlineStr">
        <is>
          <t>Rarity</t>
        </is>
      </c>
      <c r="G136" s="82" t="inlineStr">
        <is>
          <t>Lumber</t>
        </is>
      </c>
      <c r="H136" s="82" t="inlineStr">
        <is>
          <t>Wait</t>
        </is>
      </c>
      <c r="I136" s="82" t="inlineStr">
        <is>
          <t>Attack</t>
        </is>
      </c>
      <c r="J136" s="82" t="inlineStr">
        <is>
          <t>Health</t>
        </is>
      </c>
      <c r="K136" s="82" t="inlineStr">
        <is>
          <t>Skills on the card</t>
        </is>
      </c>
      <c r="L136" s="82" t="inlineStr">
        <is>
          <t>Skill cost</t>
        </is>
      </c>
      <c r="M136" s="82" t="inlineStr">
        <is>
          <t>N</t>
        </is>
      </c>
      <c r="N136" s="82" t="inlineStr">
        <is>
          <t>2A+H+S &lt; N</t>
        </is>
      </c>
      <c r="O136" s="82" t="inlineStr">
        <is>
          <t>A×H+S &lt; (N/3)²</t>
        </is>
      </c>
      <c r="P136" s="82" t="inlineStr">
        <is>
          <t>Flavour</t>
        </is>
      </c>
    </row>
    <row r="137">
      <c r="A137" s="88" t="inlineStr">
        <is>
          <t>The Ashen Covenant (the Cultists)</t>
        </is>
      </c>
      <c r="B137" s="83" t="inlineStr">
        <is>
          <t>A hooded cult that meets in burnt chapels and trades with the Devil: they give up their own units to call darker ones, and the ground they fight on goes bad.</t>
        </is>
      </c>
      <c r="C137" s="83" t="inlineStr">
        <is>
          <t>😈 Sacrifice, Inherent Darkness, Core Evil, Desecrate (Devilry archetype)</t>
        </is>
      </c>
      <c r="D137" s="83" t="inlineStr">
        <is>
          <t>Ashen Acolyte</t>
        </is>
      </c>
      <c r="E137" s="83" t="inlineStr">
        <is>
          <t>Rat (Rodent)</t>
        </is>
      </c>
      <c r="F137" s="83" t="inlineStr">
        <is>
          <t>Uncommon</t>
        </is>
      </c>
      <c r="G137" s="83" t="n">
        <v>0</v>
      </c>
      <c r="H137" s="83" t="n">
        <v>1</v>
      </c>
      <c r="I137" s="83" t="n">
        <v>2</v>
      </c>
      <c r="J137" s="83" t="n">
        <v>4</v>
      </c>
      <c r="K137" s="83" t="inlineStr">
        <is>
          <t>Sacrifice 1, Inherent Darkness 1</t>
        </is>
      </c>
      <c r="L137" s="83" t="n">
        <v>2</v>
      </c>
      <c r="M137" s="83">
        <f>20+2*1+2+6*H137+0.5*H137^2+4*G137+0.4*G137^2</f>
        <v/>
      </c>
      <c r="N137" s="83">
        <f>IF(2*I137+J137+L137&lt;M137,"✓ "&amp;(2*I137+J137+L137)&amp;" &lt; "&amp;M137,"✗ over")</f>
        <v/>
      </c>
      <c r="O137" s="83">
        <f>IF(I137*J137+L137&lt;(M137/3)^2,"✓ "&amp;(I137*J137+L137)&amp;" &lt; "&amp;ROUND((M137/3)^2,1),"✗ over")</f>
        <v/>
      </c>
      <c r="P137" s="83" t="inlineStr">
        <is>
          <t>Lights one black candle a night. Nobody in the burrow asks what the candles are for.</t>
        </is>
      </c>
    </row>
    <row r="138">
      <c r="A138" s="88" t="inlineStr">
        <is>
          <t>The Great Herd (the Savannah cult)</t>
        </is>
      </c>
      <c r="B138" s="83" t="inlineStr">
        <is>
          <t>The great beasts of the African savannah, lion, elephant, rhino, giraffe, buffalo and hippo, who worship the long grass and the rains. Slow, huge and loyal to each other.</t>
        </is>
      </c>
      <c r="C138" s="83" t="inlineStr">
        <is>
          <t>🐘 Overwhelm, 🫶 Kinship (Savanna), 😡 Rage, 🔨 Bludgeon</t>
        </is>
      </c>
      <c r="D138" s="83" t="inlineStr">
        <is>
          <t>Old Tusker</t>
        </is>
      </c>
      <c r="E138" s="83" t="inlineStr">
        <is>
          <t>Elephant (Megafauna)</t>
        </is>
      </c>
      <c r="F138" s="83" t="inlineStr">
        <is>
          <t>Rare</t>
        </is>
      </c>
      <c r="G138" s="83" t="n">
        <v>1</v>
      </c>
      <c r="H138" s="83" t="n">
        <v>2</v>
      </c>
      <c r="I138" s="83" t="n">
        <v>1</v>
      </c>
      <c r="J138" s="83" t="n">
        <v>10</v>
      </c>
      <c r="K138" s="83" t="inlineStr">
        <is>
          <t>Overwhelm, Kinship (Savanna +1/+1)</t>
        </is>
      </c>
      <c r="L138" s="83" t="n">
        <v>2</v>
      </c>
      <c r="M138" s="83">
        <f>20+2*1+3+6*H138+0.5*H138^2+4*G138+0.4*G138^2</f>
        <v/>
      </c>
      <c r="N138" s="83">
        <f>IF(2*I138+J138+L138&lt;M138,"✓ "&amp;(2*I138+J138+L138)&amp;" &lt; "&amp;M138,"✗ over")</f>
        <v/>
      </c>
      <c r="O138" s="83">
        <f>IF(I138*J138+L138&lt;(M138/3)^2,"✓ "&amp;(I138*J138+L138)&amp;" &lt; "&amp;ROUND((M138/3)^2,1),"✗ over")</f>
        <v/>
      </c>
      <c r="P138" s="83" t="inlineStr">
        <is>
          <t>The oldest elephant on the plain. Every herd that crosses it remembers the way to water.</t>
        </is>
      </c>
    </row>
    <row r="139">
      <c r="A139" s="88" t="inlineStr">
        <is>
          <t>The Mycelium Choir</t>
        </is>
      </c>
      <c r="B139" s="83" t="inlineStr">
        <is>
          <t>The mushroom folk under the forest, one root network that hums. They spread, they heal one another and they never really die: the spores always come back.</t>
        </is>
      </c>
      <c r="C139" s="83" t="inlineStr">
        <is>
          <t>🌱 Sprout, 🌿 Growth, Regeneration, 🦠 Festering</t>
        </is>
      </c>
      <c r="D139" s="83" t="inlineStr">
        <is>
          <t>Lantern Morel</t>
        </is>
      </c>
      <c r="E139" s="83" t="inlineStr">
        <is>
          <t>Mushroom (Elemental)</t>
        </is>
      </c>
      <c r="F139" s="83" t="inlineStr">
        <is>
          <t>Uncommon</t>
        </is>
      </c>
      <c r="G139" s="83" t="n">
        <v>0</v>
      </c>
      <c r="H139" s="83" t="n">
        <v>1</v>
      </c>
      <c r="I139" s="83" t="n">
        <v>1</v>
      </c>
      <c r="J139" s="83" t="n">
        <v>8</v>
      </c>
      <c r="K139" s="83" t="inlineStr">
        <is>
          <t>Lantern, Sprout 1</t>
        </is>
      </c>
      <c r="L139" s="83" t="n">
        <v>2</v>
      </c>
      <c r="M139" s="83">
        <f>20+2*1+2+6*H139+0.5*H139^2+4*G139+0.4*G139^2</f>
        <v/>
      </c>
      <c r="N139" s="83">
        <f>IF(2*I139+J139+L139&lt;M139,"✓ "&amp;(2*I139+J139+L139)&amp;" &lt; "&amp;M139,"✗ over")</f>
        <v/>
      </c>
      <c r="O139" s="83">
        <f>IF(I139*J139+L139&lt;(M139/3)^2,"✓ "&amp;(I139*J139+L139)&amp;" &lt; "&amp;ROUND((M139/3)^2,1),"✗ over")</f>
        <v/>
      </c>
      <c r="P139" s="83" t="inlineStr">
        <is>
          <t>Glows softly so the choir can find its way home. The little ones sprout wherever its light falls.</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F7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38" min="1" max="1"/>
    <col width="12" customWidth="1" style="38" min="2" max="3"/>
    <col width="13" customWidth="1" style="38" min="4" max="5"/>
    <col width="20" customWidth="1" style="38" min="6" max="6"/>
  </cols>
  <sheetData>
    <row r="1" ht="17.25" customHeight="1" s="39">
      <c r="A1" s="49" t="inlineStr">
        <is>
          <t>Animal types: is every animal fairly represented?</t>
        </is>
      </c>
    </row>
    <row r="2" ht="15" customHeight="1" s="39">
      <c r="A2" s="50" t="inlineStr">
        <is>
          <t>First world = Base, Tutorial, Maps 0–21, biome fodder and the Mystery pack. Target 3–6 per animal type; the two factions are exempt (they are whole ally packs). Spare cards of a full type wait in Later worlds.</t>
        </is>
      </c>
    </row>
    <row r="4" ht="30" customHeight="1" s="39">
      <c r="A4" s="40" t="inlineStr">
        <is>
          <t>Animal type</t>
        </is>
      </c>
      <c r="B4" s="40" t="inlineStr">
        <is>
          <t>First world</t>
        </is>
      </c>
      <c r="C4" s="40" t="inlineStr">
        <is>
          <t>Of which new</t>
        </is>
      </c>
      <c r="D4" s="40" t="inlineStr">
        <is>
          <t>Faction cards</t>
        </is>
      </c>
      <c r="E4" s="40" t="inlineStr">
        <is>
          <t>Later worlds</t>
        </is>
      </c>
      <c r="F4" s="40" t="inlineStr">
        <is>
          <t>Status (target 3–6)</t>
        </is>
      </c>
    </row>
    <row r="5" ht="15" customHeight="1" s="39">
      <c r="A5" s="69" t="inlineStr">
        <is>
          <t>Ant &amp; Termite</t>
        </is>
      </c>
      <c r="B5" s="69">
        <f>COUNTIFS(Plan!$N$2:$N$554,$A5,Plan!$Q$2:$Q$554,"Base")+COUNTIFS(Plan!$N$2:$N$554,$A5,Plan!$Q$2:$Q$554,"Tutorial")+COUNTIFS(Plan!$N$2:$N$554,$A5,Plan!$Q$2:$Q$554,"Map unique")+COUNTIFS(Plan!$N$2:$N$554,$A5,Plan!$Q$2:$Q$554,"Biome fodder")+COUNTIFS(Plan!$N$2:$N$554,$A5,Plan!$Q$2:$Q$554,"Mystery pack")</f>
        <v/>
      </c>
      <c r="C5" s="69">
        <f>COUNTIFS(Plan!$N$2:$N$554,$A5,Plan!$Q$2:$Q$554,"Base",Plan!$E$2:$E$554,"yes")+COUNTIFS(Plan!$N$2:$N$554,$A5,Plan!$Q$2:$Q$554,"Tutorial",Plan!$E$2:$E$554,"yes")+COUNTIFS(Plan!$N$2:$N$554,$A5,Plan!$Q$2:$Q$554,"Map unique",Plan!$E$2:$E$554,"yes")+COUNTIFS(Plan!$N$2:$N$554,$A5,Plan!$Q$2:$Q$554,"Biome fodder",Plan!$E$2:$E$554,"yes")+COUNTIFS(Plan!$N$2:$N$554,$A5,Plan!$Q$2:$Q$554,"Mystery pack",Plan!$E$2:$E$554,"yes")</f>
        <v/>
      </c>
      <c r="D5" s="69">
        <f>COUNTIFS(Plan!$N$2:$N$554,$A5,Plan!$Q$2:$Q$554,"Faction")</f>
        <v/>
      </c>
      <c r="E5" s="69">
        <f>COUNTIFS(Plan!$N$2:$N$554,$A5,Plan!$Q$2:$Q$554,"Later world")</f>
        <v/>
      </c>
      <c r="F5" s="69">
        <f>IF(B5&lt;3,"Below 3",IF(B5&gt;6,"Above 6","OK (3–6)"))</f>
        <v/>
      </c>
    </row>
    <row r="6" ht="15" customHeight="1" s="39">
      <c r="A6" s="69" t="inlineStr">
        <is>
          <t>Ape &amp; Monkey</t>
        </is>
      </c>
      <c r="B6" s="69">
        <f>COUNTIFS(Plan!$N$2:$N$554,$A6,Plan!$Q$2:$Q$554,"Base")+COUNTIFS(Plan!$N$2:$N$554,$A6,Plan!$Q$2:$Q$554,"Tutorial")+COUNTIFS(Plan!$N$2:$N$554,$A6,Plan!$Q$2:$Q$554,"Map unique")+COUNTIFS(Plan!$N$2:$N$554,$A6,Plan!$Q$2:$Q$554,"Biome fodder")+COUNTIFS(Plan!$N$2:$N$554,$A6,Plan!$Q$2:$Q$554,"Mystery pack")</f>
        <v/>
      </c>
      <c r="C6" s="69">
        <f>COUNTIFS(Plan!$N$2:$N$554,$A6,Plan!$Q$2:$Q$554,"Base",Plan!$E$2:$E$554,"yes")+COUNTIFS(Plan!$N$2:$N$554,$A6,Plan!$Q$2:$Q$554,"Tutorial",Plan!$E$2:$E$554,"yes")+COUNTIFS(Plan!$N$2:$N$554,$A6,Plan!$Q$2:$Q$554,"Map unique",Plan!$E$2:$E$554,"yes")+COUNTIFS(Plan!$N$2:$N$554,$A6,Plan!$Q$2:$Q$554,"Biome fodder",Plan!$E$2:$E$554,"yes")+COUNTIFS(Plan!$N$2:$N$554,$A6,Plan!$Q$2:$Q$554,"Mystery pack",Plan!$E$2:$E$554,"yes")</f>
        <v/>
      </c>
      <c r="D6" s="69">
        <f>COUNTIFS(Plan!$N$2:$N$554,$A6,Plan!$Q$2:$Q$554,"Faction")</f>
        <v/>
      </c>
      <c r="E6" s="69">
        <f>COUNTIFS(Plan!$N$2:$N$554,$A6,Plan!$Q$2:$Q$554,"Later world")</f>
        <v/>
      </c>
      <c r="F6" s="69">
        <f>IF(B6&lt;3,"Below 3",IF(B6&gt;6,"Above 6","OK (3–6)"))</f>
        <v/>
      </c>
    </row>
    <row r="7" ht="15" customHeight="1" s="39">
      <c r="A7" s="69" t="inlineStr">
        <is>
          <t>Badger</t>
        </is>
      </c>
      <c r="B7" s="69">
        <f>COUNTIFS(Plan!$N$2:$N$554,$A7,Plan!$Q$2:$Q$554,"Base")+COUNTIFS(Plan!$N$2:$N$554,$A7,Plan!$Q$2:$Q$554,"Tutorial")+COUNTIFS(Plan!$N$2:$N$554,$A7,Plan!$Q$2:$Q$554,"Map unique")+COUNTIFS(Plan!$N$2:$N$554,$A7,Plan!$Q$2:$Q$554,"Biome fodder")+COUNTIFS(Plan!$N$2:$N$554,$A7,Plan!$Q$2:$Q$554,"Mystery pack")</f>
        <v/>
      </c>
      <c r="C7" s="69">
        <f>COUNTIFS(Plan!$N$2:$N$554,$A7,Plan!$Q$2:$Q$554,"Base",Plan!$E$2:$E$554,"yes")+COUNTIFS(Plan!$N$2:$N$554,$A7,Plan!$Q$2:$Q$554,"Tutorial",Plan!$E$2:$E$554,"yes")+COUNTIFS(Plan!$N$2:$N$554,$A7,Plan!$Q$2:$Q$554,"Map unique",Plan!$E$2:$E$554,"yes")+COUNTIFS(Plan!$N$2:$N$554,$A7,Plan!$Q$2:$Q$554,"Biome fodder",Plan!$E$2:$E$554,"yes")+COUNTIFS(Plan!$N$2:$N$554,$A7,Plan!$Q$2:$Q$554,"Mystery pack",Plan!$E$2:$E$554,"yes")</f>
        <v/>
      </c>
      <c r="D7" s="69">
        <f>COUNTIFS(Plan!$N$2:$N$554,$A7,Plan!$Q$2:$Q$554,"Faction")</f>
        <v/>
      </c>
      <c r="E7" s="69">
        <f>COUNTIFS(Plan!$N$2:$N$554,$A7,Plan!$Q$2:$Q$554,"Later world")</f>
        <v/>
      </c>
      <c r="F7" s="69">
        <f>IF(B7&lt;3,"Below 3",IF(B7&gt;6,"Above 6","OK (3–6)"))</f>
        <v/>
      </c>
    </row>
    <row r="8" ht="15" customHeight="1" s="39">
      <c r="A8" s="69" t="inlineStr">
        <is>
          <t>Bat</t>
        </is>
      </c>
      <c r="B8" s="69">
        <f>COUNTIFS(Plan!$N$2:$N$554,$A8,Plan!$Q$2:$Q$554,"Base")+COUNTIFS(Plan!$N$2:$N$554,$A8,Plan!$Q$2:$Q$554,"Tutorial")+COUNTIFS(Plan!$N$2:$N$554,$A8,Plan!$Q$2:$Q$554,"Map unique")+COUNTIFS(Plan!$N$2:$N$554,$A8,Plan!$Q$2:$Q$554,"Biome fodder")+COUNTIFS(Plan!$N$2:$N$554,$A8,Plan!$Q$2:$Q$554,"Mystery pack")</f>
        <v/>
      </c>
      <c r="C8" s="69">
        <f>COUNTIFS(Plan!$N$2:$N$554,$A8,Plan!$Q$2:$Q$554,"Base",Plan!$E$2:$E$554,"yes")+COUNTIFS(Plan!$N$2:$N$554,$A8,Plan!$Q$2:$Q$554,"Tutorial",Plan!$E$2:$E$554,"yes")+COUNTIFS(Plan!$N$2:$N$554,$A8,Plan!$Q$2:$Q$554,"Map unique",Plan!$E$2:$E$554,"yes")+COUNTIFS(Plan!$N$2:$N$554,$A8,Plan!$Q$2:$Q$554,"Biome fodder",Plan!$E$2:$E$554,"yes")+COUNTIFS(Plan!$N$2:$N$554,$A8,Plan!$Q$2:$Q$554,"Mystery pack",Plan!$E$2:$E$554,"yes")</f>
        <v/>
      </c>
      <c r="D8" s="69">
        <f>COUNTIFS(Plan!$N$2:$N$554,$A8,Plan!$Q$2:$Q$554,"Faction")</f>
        <v/>
      </c>
      <c r="E8" s="69">
        <f>COUNTIFS(Plan!$N$2:$N$554,$A8,Plan!$Q$2:$Q$554,"Later world")</f>
        <v/>
      </c>
      <c r="F8" s="69">
        <f>IF(B8&lt;3,"Below 3",IF(B8&gt;6,"Above 6","OK (3–6)"))</f>
        <v/>
      </c>
    </row>
    <row r="9" ht="15" customHeight="1" s="39">
      <c r="A9" s="69" t="inlineStr">
        <is>
          <t>Bear</t>
        </is>
      </c>
      <c r="B9" s="69">
        <f>COUNTIFS(Plan!$N$2:$N$554,$A9,Plan!$Q$2:$Q$554,"Base")+COUNTIFS(Plan!$N$2:$N$554,$A9,Plan!$Q$2:$Q$554,"Tutorial")+COUNTIFS(Plan!$N$2:$N$554,$A9,Plan!$Q$2:$Q$554,"Map unique")+COUNTIFS(Plan!$N$2:$N$554,$A9,Plan!$Q$2:$Q$554,"Biome fodder")+COUNTIFS(Plan!$N$2:$N$554,$A9,Plan!$Q$2:$Q$554,"Mystery pack")</f>
        <v/>
      </c>
      <c r="C9" s="69">
        <f>COUNTIFS(Plan!$N$2:$N$554,$A9,Plan!$Q$2:$Q$554,"Base",Plan!$E$2:$E$554,"yes")+COUNTIFS(Plan!$N$2:$N$554,$A9,Plan!$Q$2:$Q$554,"Tutorial",Plan!$E$2:$E$554,"yes")+COUNTIFS(Plan!$N$2:$N$554,$A9,Plan!$Q$2:$Q$554,"Map unique",Plan!$E$2:$E$554,"yes")+COUNTIFS(Plan!$N$2:$N$554,$A9,Plan!$Q$2:$Q$554,"Biome fodder",Plan!$E$2:$E$554,"yes")+COUNTIFS(Plan!$N$2:$N$554,$A9,Plan!$Q$2:$Q$554,"Mystery pack",Plan!$E$2:$E$554,"yes")</f>
        <v/>
      </c>
      <c r="D9" s="69">
        <f>COUNTIFS(Plan!$N$2:$N$554,$A9,Plan!$Q$2:$Q$554,"Faction")</f>
        <v/>
      </c>
      <c r="E9" s="69">
        <f>COUNTIFS(Plan!$N$2:$N$554,$A9,Plan!$Q$2:$Q$554,"Later world")</f>
        <v/>
      </c>
      <c r="F9" s="69">
        <f>IF(B9&lt;3,"Below 3",IF(B9&gt;6,"Above 6","OK (3–6)"))</f>
        <v/>
      </c>
    </row>
    <row r="10" ht="15" customHeight="1" s="39">
      <c r="A10" s="69" t="inlineStr">
        <is>
          <t>Beaver</t>
        </is>
      </c>
      <c r="B10" s="69">
        <f>COUNTIFS(Plan!$N$2:$N$554,$A10,Plan!$Q$2:$Q$554,"Base")+COUNTIFS(Plan!$N$2:$N$554,$A10,Plan!$Q$2:$Q$554,"Tutorial")+COUNTIFS(Plan!$N$2:$N$554,$A10,Plan!$Q$2:$Q$554,"Map unique")+COUNTIFS(Plan!$N$2:$N$554,$A10,Plan!$Q$2:$Q$554,"Biome fodder")+COUNTIFS(Plan!$N$2:$N$554,$A10,Plan!$Q$2:$Q$554,"Mystery pack")</f>
        <v/>
      </c>
      <c r="C10" s="69">
        <f>COUNTIFS(Plan!$N$2:$N$554,$A10,Plan!$Q$2:$Q$554,"Base",Plan!$E$2:$E$554,"yes")+COUNTIFS(Plan!$N$2:$N$554,$A10,Plan!$Q$2:$Q$554,"Tutorial",Plan!$E$2:$E$554,"yes")+COUNTIFS(Plan!$N$2:$N$554,$A10,Plan!$Q$2:$Q$554,"Map unique",Plan!$E$2:$E$554,"yes")+COUNTIFS(Plan!$N$2:$N$554,$A10,Plan!$Q$2:$Q$554,"Biome fodder",Plan!$E$2:$E$554,"yes")+COUNTIFS(Plan!$N$2:$N$554,$A10,Plan!$Q$2:$Q$554,"Mystery pack",Plan!$E$2:$E$554,"yes")</f>
        <v/>
      </c>
      <c r="D10" s="69">
        <f>COUNTIFS(Plan!$N$2:$N$554,$A10,Plan!$Q$2:$Q$554,"Faction")</f>
        <v/>
      </c>
      <c r="E10" s="69">
        <f>COUNTIFS(Plan!$N$2:$N$554,$A10,Plan!$Q$2:$Q$554,"Later world")</f>
        <v/>
      </c>
      <c r="F10" s="69">
        <f>IF(B10&lt;3,"Below 3",IF(B10&gt;6,"Above 6","OK (3–6)"))</f>
        <v/>
      </c>
    </row>
    <row r="11" ht="15" customHeight="1" s="39">
      <c r="A11" s="69" t="inlineStr">
        <is>
          <t>Bee &amp; Wasp</t>
        </is>
      </c>
      <c r="B11" s="69">
        <f>COUNTIFS(Plan!$N$2:$N$554,$A11,Plan!$Q$2:$Q$554,"Base")+COUNTIFS(Plan!$N$2:$N$554,$A11,Plan!$Q$2:$Q$554,"Tutorial")+COUNTIFS(Plan!$N$2:$N$554,$A11,Plan!$Q$2:$Q$554,"Map unique")+COUNTIFS(Plan!$N$2:$N$554,$A11,Plan!$Q$2:$Q$554,"Biome fodder")+COUNTIFS(Plan!$N$2:$N$554,$A11,Plan!$Q$2:$Q$554,"Mystery pack")</f>
        <v/>
      </c>
      <c r="C11" s="69">
        <f>COUNTIFS(Plan!$N$2:$N$554,$A11,Plan!$Q$2:$Q$554,"Base",Plan!$E$2:$E$554,"yes")+COUNTIFS(Plan!$N$2:$N$554,$A11,Plan!$Q$2:$Q$554,"Tutorial",Plan!$E$2:$E$554,"yes")+COUNTIFS(Plan!$N$2:$N$554,$A11,Plan!$Q$2:$Q$554,"Map unique",Plan!$E$2:$E$554,"yes")+COUNTIFS(Plan!$N$2:$N$554,$A11,Plan!$Q$2:$Q$554,"Biome fodder",Plan!$E$2:$E$554,"yes")+COUNTIFS(Plan!$N$2:$N$554,$A11,Plan!$Q$2:$Q$554,"Mystery pack",Plan!$E$2:$E$554,"yes")</f>
        <v/>
      </c>
      <c r="D11" s="69">
        <f>COUNTIFS(Plan!$N$2:$N$554,$A11,Plan!$Q$2:$Q$554,"Faction")</f>
        <v/>
      </c>
      <c r="E11" s="69">
        <f>COUNTIFS(Plan!$N$2:$N$554,$A11,Plan!$Q$2:$Q$554,"Later world")</f>
        <v/>
      </c>
      <c r="F11" s="69">
        <f>IF(B11&lt;3,"Below 3",IF(B11&gt;6,"Above 6","OK (3–6)"))</f>
        <v/>
      </c>
    </row>
    <row r="12" ht="15" customHeight="1" s="39">
      <c r="A12" s="69" t="inlineStr">
        <is>
          <t>Beetle &amp; Bug</t>
        </is>
      </c>
      <c r="B12" s="69">
        <f>COUNTIFS(Plan!$N$2:$N$554,$A12,Plan!$Q$2:$Q$554,"Base")+COUNTIFS(Plan!$N$2:$N$554,$A12,Plan!$Q$2:$Q$554,"Tutorial")+COUNTIFS(Plan!$N$2:$N$554,$A12,Plan!$Q$2:$Q$554,"Map unique")+COUNTIFS(Plan!$N$2:$N$554,$A12,Plan!$Q$2:$Q$554,"Biome fodder")+COUNTIFS(Plan!$N$2:$N$554,$A12,Plan!$Q$2:$Q$554,"Mystery pack")</f>
        <v/>
      </c>
      <c r="C12" s="69">
        <f>COUNTIFS(Plan!$N$2:$N$554,$A12,Plan!$Q$2:$Q$554,"Base",Plan!$E$2:$E$554,"yes")+COUNTIFS(Plan!$N$2:$N$554,$A12,Plan!$Q$2:$Q$554,"Tutorial",Plan!$E$2:$E$554,"yes")+COUNTIFS(Plan!$N$2:$N$554,$A12,Plan!$Q$2:$Q$554,"Map unique",Plan!$E$2:$E$554,"yes")+COUNTIFS(Plan!$N$2:$N$554,$A12,Plan!$Q$2:$Q$554,"Biome fodder",Plan!$E$2:$E$554,"yes")+COUNTIFS(Plan!$N$2:$N$554,$A12,Plan!$Q$2:$Q$554,"Mystery pack",Plan!$E$2:$E$554,"yes")</f>
        <v/>
      </c>
      <c r="D12" s="69">
        <f>COUNTIFS(Plan!$N$2:$N$554,$A12,Plan!$Q$2:$Q$554,"Faction")</f>
        <v/>
      </c>
      <c r="E12" s="69">
        <f>COUNTIFS(Plan!$N$2:$N$554,$A12,Plan!$Q$2:$Q$554,"Later world")</f>
        <v/>
      </c>
      <c r="F12" s="69">
        <f>IF(B12&lt;3,"Below 3",IF(B12&gt;6,"Above 6","OK (3–6)"))</f>
        <v/>
      </c>
    </row>
    <row r="13" ht="15" customHeight="1" s="39">
      <c r="A13" s="69" t="inlineStr">
        <is>
          <t>Big Beast</t>
        </is>
      </c>
      <c r="B13" s="69">
        <f>COUNTIFS(Plan!$N$2:$N$554,$A13,Plan!$Q$2:$Q$554,"Base")+COUNTIFS(Plan!$N$2:$N$554,$A13,Plan!$Q$2:$Q$554,"Tutorial")+COUNTIFS(Plan!$N$2:$N$554,$A13,Plan!$Q$2:$Q$554,"Map unique")+COUNTIFS(Plan!$N$2:$N$554,$A13,Plan!$Q$2:$Q$554,"Biome fodder")+COUNTIFS(Plan!$N$2:$N$554,$A13,Plan!$Q$2:$Q$554,"Mystery pack")</f>
        <v/>
      </c>
      <c r="C13" s="69">
        <f>COUNTIFS(Plan!$N$2:$N$554,$A13,Plan!$Q$2:$Q$554,"Base",Plan!$E$2:$E$554,"yes")+COUNTIFS(Plan!$N$2:$N$554,$A13,Plan!$Q$2:$Q$554,"Tutorial",Plan!$E$2:$E$554,"yes")+COUNTIFS(Plan!$N$2:$N$554,$A13,Plan!$Q$2:$Q$554,"Map unique",Plan!$E$2:$E$554,"yes")+COUNTIFS(Plan!$N$2:$N$554,$A13,Plan!$Q$2:$Q$554,"Biome fodder",Plan!$E$2:$E$554,"yes")+COUNTIFS(Plan!$N$2:$N$554,$A13,Plan!$Q$2:$Q$554,"Mystery pack",Plan!$E$2:$E$554,"yes")</f>
        <v/>
      </c>
      <c r="D13" s="69">
        <f>COUNTIFS(Plan!$N$2:$N$554,$A13,Plan!$Q$2:$Q$554,"Faction")</f>
        <v/>
      </c>
      <c r="E13" s="69">
        <f>COUNTIFS(Plan!$N$2:$N$554,$A13,Plan!$Q$2:$Q$554,"Later world")</f>
        <v/>
      </c>
      <c r="F13" s="69">
        <f>IF(B13&lt;3,"Below 3",IF(B13&gt;6,"Above 6","OK (3–6)"))</f>
        <v/>
      </c>
    </row>
    <row r="14" ht="15" customHeight="1" s="39">
      <c r="A14" s="69" t="inlineStr">
        <is>
          <t>Boar</t>
        </is>
      </c>
      <c r="B14" s="69">
        <f>COUNTIFS(Plan!$N$2:$N$554,$A14,Plan!$Q$2:$Q$554,"Base")+COUNTIFS(Plan!$N$2:$N$554,$A14,Plan!$Q$2:$Q$554,"Tutorial")+COUNTIFS(Plan!$N$2:$N$554,$A14,Plan!$Q$2:$Q$554,"Map unique")+COUNTIFS(Plan!$N$2:$N$554,$A14,Plan!$Q$2:$Q$554,"Biome fodder")+COUNTIFS(Plan!$N$2:$N$554,$A14,Plan!$Q$2:$Q$554,"Mystery pack")</f>
        <v/>
      </c>
      <c r="C14" s="69">
        <f>COUNTIFS(Plan!$N$2:$N$554,$A14,Plan!$Q$2:$Q$554,"Base",Plan!$E$2:$E$554,"yes")+COUNTIFS(Plan!$N$2:$N$554,$A14,Plan!$Q$2:$Q$554,"Tutorial",Plan!$E$2:$E$554,"yes")+COUNTIFS(Plan!$N$2:$N$554,$A14,Plan!$Q$2:$Q$554,"Map unique",Plan!$E$2:$E$554,"yes")+COUNTIFS(Plan!$N$2:$N$554,$A14,Plan!$Q$2:$Q$554,"Biome fodder",Plan!$E$2:$E$554,"yes")+COUNTIFS(Plan!$N$2:$N$554,$A14,Plan!$Q$2:$Q$554,"Mystery pack",Plan!$E$2:$E$554,"yes")</f>
        <v/>
      </c>
      <c r="D14" s="69">
        <f>COUNTIFS(Plan!$N$2:$N$554,$A14,Plan!$Q$2:$Q$554,"Faction")</f>
        <v/>
      </c>
      <c r="E14" s="69">
        <f>COUNTIFS(Plan!$N$2:$N$554,$A14,Plan!$Q$2:$Q$554,"Later world")</f>
        <v/>
      </c>
      <c r="F14" s="69">
        <f>IF(B14&lt;3,"Below 3",IF(B14&gt;6,"Above 6","OK (3–6)"))</f>
        <v/>
      </c>
    </row>
    <row r="15" ht="15" customHeight="1" s="39">
      <c r="A15" s="69" t="inlineStr">
        <is>
          <t>Cat</t>
        </is>
      </c>
      <c r="B15" s="69">
        <f>COUNTIFS(Plan!$N$2:$N$554,$A15,Plan!$Q$2:$Q$554,"Base")+COUNTIFS(Plan!$N$2:$N$554,$A15,Plan!$Q$2:$Q$554,"Tutorial")+COUNTIFS(Plan!$N$2:$N$554,$A15,Plan!$Q$2:$Q$554,"Map unique")+COUNTIFS(Plan!$N$2:$N$554,$A15,Plan!$Q$2:$Q$554,"Biome fodder")+COUNTIFS(Plan!$N$2:$N$554,$A15,Plan!$Q$2:$Q$554,"Mystery pack")</f>
        <v/>
      </c>
      <c r="C15" s="69">
        <f>COUNTIFS(Plan!$N$2:$N$554,$A15,Plan!$Q$2:$Q$554,"Base",Plan!$E$2:$E$554,"yes")+COUNTIFS(Plan!$N$2:$N$554,$A15,Plan!$Q$2:$Q$554,"Tutorial",Plan!$E$2:$E$554,"yes")+COUNTIFS(Plan!$N$2:$N$554,$A15,Plan!$Q$2:$Q$554,"Map unique",Plan!$E$2:$E$554,"yes")+COUNTIFS(Plan!$N$2:$N$554,$A15,Plan!$Q$2:$Q$554,"Biome fodder",Plan!$E$2:$E$554,"yes")+COUNTIFS(Plan!$N$2:$N$554,$A15,Plan!$Q$2:$Q$554,"Mystery pack",Plan!$E$2:$E$554,"yes")</f>
        <v/>
      </c>
      <c r="D15" s="69">
        <f>COUNTIFS(Plan!$N$2:$N$554,$A15,Plan!$Q$2:$Q$554,"Faction")</f>
        <v/>
      </c>
      <c r="E15" s="69">
        <f>COUNTIFS(Plan!$N$2:$N$554,$A15,Plan!$Q$2:$Q$554,"Later world")</f>
        <v/>
      </c>
      <c r="F15" s="69">
        <f>IF(B15&lt;3,"Below 3",IF(B15&gt;6,"Above 6","OK (3–6)"))</f>
        <v/>
      </c>
    </row>
    <row r="16" ht="15" customHeight="1" s="39">
      <c r="A16" s="69" t="inlineStr">
        <is>
          <t>Centipede</t>
        </is>
      </c>
      <c r="B16" s="69">
        <f>COUNTIFS(Plan!$N$2:$N$554,$A16,Plan!$Q$2:$Q$554,"Base")+COUNTIFS(Plan!$N$2:$N$554,$A16,Plan!$Q$2:$Q$554,"Tutorial")+COUNTIFS(Plan!$N$2:$N$554,$A16,Plan!$Q$2:$Q$554,"Map unique")+COUNTIFS(Plan!$N$2:$N$554,$A16,Plan!$Q$2:$Q$554,"Biome fodder")+COUNTIFS(Plan!$N$2:$N$554,$A16,Plan!$Q$2:$Q$554,"Mystery pack")</f>
        <v/>
      </c>
      <c r="C16" s="69">
        <f>COUNTIFS(Plan!$N$2:$N$554,$A16,Plan!$Q$2:$Q$554,"Base",Plan!$E$2:$E$554,"yes")+COUNTIFS(Plan!$N$2:$N$554,$A16,Plan!$Q$2:$Q$554,"Tutorial",Plan!$E$2:$E$554,"yes")+COUNTIFS(Plan!$N$2:$N$554,$A16,Plan!$Q$2:$Q$554,"Map unique",Plan!$E$2:$E$554,"yes")+COUNTIFS(Plan!$N$2:$N$554,$A16,Plan!$Q$2:$Q$554,"Biome fodder",Plan!$E$2:$E$554,"yes")+COUNTIFS(Plan!$N$2:$N$554,$A16,Plan!$Q$2:$Q$554,"Mystery pack",Plan!$E$2:$E$554,"yes")</f>
        <v/>
      </c>
      <c r="D16" s="69">
        <f>COUNTIFS(Plan!$N$2:$N$554,$A16,Plan!$Q$2:$Q$554,"Faction")</f>
        <v/>
      </c>
      <c r="E16" s="69">
        <f>COUNTIFS(Plan!$N$2:$N$554,$A16,Plan!$Q$2:$Q$554,"Later world")</f>
        <v/>
      </c>
      <c r="F16" s="69">
        <f>IF(B16&lt;3,"Below 3",IF(B16&gt;6,"Above 6","OK (3–6)"))</f>
        <v/>
      </c>
    </row>
    <row r="17" ht="15" customHeight="1" s="39">
      <c r="A17" s="69" t="inlineStr">
        <is>
          <t>Chipmunk &amp; Squirrel</t>
        </is>
      </c>
      <c r="B17" s="69">
        <f>COUNTIFS(Plan!$N$2:$N$554,$A17,Plan!$Q$2:$Q$554,"Base")+COUNTIFS(Plan!$N$2:$N$554,$A17,Plan!$Q$2:$Q$554,"Tutorial")+COUNTIFS(Plan!$N$2:$N$554,$A17,Plan!$Q$2:$Q$554,"Map unique")+COUNTIFS(Plan!$N$2:$N$554,$A17,Plan!$Q$2:$Q$554,"Biome fodder")+COUNTIFS(Plan!$N$2:$N$554,$A17,Plan!$Q$2:$Q$554,"Mystery pack")</f>
        <v/>
      </c>
      <c r="C17" s="69">
        <f>COUNTIFS(Plan!$N$2:$N$554,$A17,Plan!$Q$2:$Q$554,"Base",Plan!$E$2:$E$554,"yes")+COUNTIFS(Plan!$N$2:$N$554,$A17,Plan!$Q$2:$Q$554,"Tutorial",Plan!$E$2:$E$554,"yes")+COUNTIFS(Plan!$N$2:$N$554,$A17,Plan!$Q$2:$Q$554,"Map unique",Plan!$E$2:$E$554,"yes")+COUNTIFS(Plan!$N$2:$N$554,$A17,Plan!$Q$2:$Q$554,"Biome fodder",Plan!$E$2:$E$554,"yes")+COUNTIFS(Plan!$N$2:$N$554,$A17,Plan!$Q$2:$Q$554,"Mystery pack",Plan!$E$2:$E$554,"yes")</f>
        <v/>
      </c>
      <c r="D17" s="69">
        <f>COUNTIFS(Plan!$N$2:$N$554,$A17,Plan!$Q$2:$Q$554,"Faction")</f>
        <v/>
      </c>
      <c r="E17" s="69">
        <f>COUNTIFS(Plan!$N$2:$N$554,$A17,Plan!$Q$2:$Q$554,"Later world")</f>
        <v/>
      </c>
      <c r="F17" s="69">
        <f>IF(B17&lt;3,"Below 3",IF(B17&gt;6,"Above 6","OK (3–6)"))</f>
        <v/>
      </c>
    </row>
    <row r="18" ht="15" customHeight="1" s="39">
      <c r="A18" s="69" t="inlineStr">
        <is>
          <t>Coral &amp; Jelly</t>
        </is>
      </c>
      <c r="B18" s="69">
        <f>COUNTIFS(Plan!$N$2:$N$554,$A18,Plan!$Q$2:$Q$554,"Base")+COUNTIFS(Plan!$N$2:$N$554,$A18,Plan!$Q$2:$Q$554,"Tutorial")+COUNTIFS(Plan!$N$2:$N$554,$A18,Plan!$Q$2:$Q$554,"Map unique")+COUNTIFS(Plan!$N$2:$N$554,$A18,Plan!$Q$2:$Q$554,"Biome fodder")+COUNTIFS(Plan!$N$2:$N$554,$A18,Plan!$Q$2:$Q$554,"Mystery pack")</f>
        <v/>
      </c>
      <c r="C18" s="69">
        <f>COUNTIFS(Plan!$N$2:$N$554,$A18,Plan!$Q$2:$Q$554,"Base",Plan!$E$2:$E$554,"yes")+COUNTIFS(Plan!$N$2:$N$554,$A18,Plan!$Q$2:$Q$554,"Tutorial",Plan!$E$2:$E$554,"yes")+COUNTIFS(Plan!$N$2:$N$554,$A18,Plan!$Q$2:$Q$554,"Map unique",Plan!$E$2:$E$554,"yes")+COUNTIFS(Plan!$N$2:$N$554,$A18,Plan!$Q$2:$Q$554,"Biome fodder",Plan!$E$2:$E$554,"yes")+COUNTIFS(Plan!$N$2:$N$554,$A18,Plan!$Q$2:$Q$554,"Mystery pack",Plan!$E$2:$E$554,"yes")</f>
        <v/>
      </c>
      <c r="D18" s="69">
        <f>COUNTIFS(Plan!$N$2:$N$554,$A18,Plan!$Q$2:$Q$554,"Faction")</f>
        <v/>
      </c>
      <c r="E18" s="69">
        <f>COUNTIFS(Plan!$N$2:$N$554,$A18,Plan!$Q$2:$Q$554,"Later world")</f>
        <v/>
      </c>
      <c r="F18" s="69">
        <f>IF(B18&lt;3,"Below 3",IF(B18&gt;6,"Above 6","OK (3–6)"))</f>
        <v/>
      </c>
    </row>
    <row r="19" ht="15" customHeight="1" s="39">
      <c r="A19" s="69" t="inlineStr">
        <is>
          <t>Crab &amp; Shrimp</t>
        </is>
      </c>
      <c r="B19" s="69">
        <f>COUNTIFS(Plan!$N$2:$N$554,$A19,Plan!$Q$2:$Q$554,"Base")+COUNTIFS(Plan!$N$2:$N$554,$A19,Plan!$Q$2:$Q$554,"Tutorial")+COUNTIFS(Plan!$N$2:$N$554,$A19,Plan!$Q$2:$Q$554,"Map unique")+COUNTIFS(Plan!$N$2:$N$554,$A19,Plan!$Q$2:$Q$554,"Biome fodder")+COUNTIFS(Plan!$N$2:$N$554,$A19,Plan!$Q$2:$Q$554,"Mystery pack")</f>
        <v/>
      </c>
      <c r="C19" s="69">
        <f>COUNTIFS(Plan!$N$2:$N$554,$A19,Plan!$Q$2:$Q$554,"Base",Plan!$E$2:$E$554,"yes")+COUNTIFS(Plan!$N$2:$N$554,$A19,Plan!$Q$2:$Q$554,"Tutorial",Plan!$E$2:$E$554,"yes")+COUNTIFS(Plan!$N$2:$N$554,$A19,Plan!$Q$2:$Q$554,"Map unique",Plan!$E$2:$E$554,"yes")+COUNTIFS(Plan!$N$2:$N$554,$A19,Plan!$Q$2:$Q$554,"Biome fodder",Plan!$E$2:$E$554,"yes")+COUNTIFS(Plan!$N$2:$N$554,$A19,Plan!$Q$2:$Q$554,"Mystery pack",Plan!$E$2:$E$554,"yes")</f>
        <v/>
      </c>
      <c r="D19" s="69">
        <f>COUNTIFS(Plan!$N$2:$N$554,$A19,Plan!$Q$2:$Q$554,"Faction")</f>
        <v/>
      </c>
      <c r="E19" s="69">
        <f>COUNTIFS(Plan!$N$2:$N$554,$A19,Plan!$Q$2:$Q$554,"Later world")</f>
        <v/>
      </c>
      <c r="F19" s="69">
        <f>IF(B19&lt;3,"Below 3",IF(B19&gt;6,"Above 6","OK (3–6)"))</f>
        <v/>
      </c>
    </row>
    <row r="20" ht="15" customHeight="1" s="39">
      <c r="A20" s="69" t="inlineStr">
        <is>
          <t>Crocodile</t>
        </is>
      </c>
      <c r="B20" s="69">
        <f>COUNTIFS(Plan!$N$2:$N$554,$A20,Plan!$Q$2:$Q$554,"Base")+COUNTIFS(Plan!$N$2:$N$554,$A20,Plan!$Q$2:$Q$554,"Tutorial")+COUNTIFS(Plan!$N$2:$N$554,$A20,Plan!$Q$2:$Q$554,"Map unique")+COUNTIFS(Plan!$N$2:$N$554,$A20,Plan!$Q$2:$Q$554,"Biome fodder")+COUNTIFS(Plan!$N$2:$N$554,$A20,Plan!$Q$2:$Q$554,"Mystery pack")</f>
        <v/>
      </c>
      <c r="C20" s="69">
        <f>COUNTIFS(Plan!$N$2:$N$554,$A20,Plan!$Q$2:$Q$554,"Base",Plan!$E$2:$E$554,"yes")+COUNTIFS(Plan!$N$2:$N$554,$A20,Plan!$Q$2:$Q$554,"Tutorial",Plan!$E$2:$E$554,"yes")+COUNTIFS(Plan!$N$2:$N$554,$A20,Plan!$Q$2:$Q$554,"Map unique",Plan!$E$2:$E$554,"yes")+COUNTIFS(Plan!$N$2:$N$554,$A20,Plan!$Q$2:$Q$554,"Biome fodder",Plan!$E$2:$E$554,"yes")+COUNTIFS(Plan!$N$2:$N$554,$A20,Plan!$Q$2:$Q$554,"Mystery pack",Plan!$E$2:$E$554,"yes")</f>
        <v/>
      </c>
      <c r="D20" s="69">
        <f>COUNTIFS(Plan!$N$2:$N$554,$A20,Plan!$Q$2:$Q$554,"Faction")</f>
        <v/>
      </c>
      <c r="E20" s="69">
        <f>COUNTIFS(Plan!$N$2:$N$554,$A20,Plan!$Q$2:$Q$554,"Later world")</f>
        <v/>
      </c>
      <c r="F20" s="69">
        <f>IF(B20&lt;3,"Below 3",IF(B20&gt;6,"Above 6","OK (3–6)"))</f>
        <v/>
      </c>
    </row>
    <row r="21" ht="15" customHeight="1" s="39">
      <c r="A21" s="69" t="inlineStr">
        <is>
          <t>Deer &amp; Elk</t>
        </is>
      </c>
      <c r="B21" s="69">
        <f>COUNTIFS(Plan!$N$2:$N$554,$A21,Plan!$Q$2:$Q$554,"Base")+COUNTIFS(Plan!$N$2:$N$554,$A21,Plan!$Q$2:$Q$554,"Tutorial")+COUNTIFS(Plan!$N$2:$N$554,$A21,Plan!$Q$2:$Q$554,"Map unique")+COUNTIFS(Plan!$N$2:$N$554,$A21,Plan!$Q$2:$Q$554,"Biome fodder")+COUNTIFS(Plan!$N$2:$N$554,$A21,Plan!$Q$2:$Q$554,"Mystery pack")</f>
        <v/>
      </c>
      <c r="C21" s="69">
        <f>COUNTIFS(Plan!$N$2:$N$554,$A21,Plan!$Q$2:$Q$554,"Base",Plan!$E$2:$E$554,"yes")+COUNTIFS(Plan!$N$2:$N$554,$A21,Plan!$Q$2:$Q$554,"Tutorial",Plan!$E$2:$E$554,"yes")+COUNTIFS(Plan!$N$2:$N$554,$A21,Plan!$Q$2:$Q$554,"Map unique",Plan!$E$2:$E$554,"yes")+COUNTIFS(Plan!$N$2:$N$554,$A21,Plan!$Q$2:$Q$554,"Biome fodder",Plan!$E$2:$E$554,"yes")+COUNTIFS(Plan!$N$2:$N$554,$A21,Plan!$Q$2:$Q$554,"Mystery pack",Plan!$E$2:$E$554,"yes")</f>
        <v/>
      </c>
      <c r="D21" s="69">
        <f>COUNTIFS(Plan!$N$2:$N$554,$A21,Plan!$Q$2:$Q$554,"Faction")</f>
        <v/>
      </c>
      <c r="E21" s="69">
        <f>COUNTIFS(Plan!$N$2:$N$554,$A21,Plan!$Q$2:$Q$554,"Later world")</f>
        <v/>
      </c>
      <c r="F21" s="69">
        <f>IF(B21&lt;3,"Below 3",IF(B21&gt;6,"Above 6","OK (3–6)"))</f>
        <v/>
      </c>
    </row>
    <row r="22" ht="15" customHeight="1" s="39">
      <c r="A22" s="69" t="inlineStr">
        <is>
          <t>Dog</t>
        </is>
      </c>
      <c r="B22" s="69">
        <f>COUNTIFS(Plan!$N$2:$N$554,$A22,Plan!$Q$2:$Q$554,"Base")+COUNTIFS(Plan!$N$2:$N$554,$A22,Plan!$Q$2:$Q$554,"Tutorial")+COUNTIFS(Plan!$N$2:$N$554,$A22,Plan!$Q$2:$Q$554,"Map unique")+COUNTIFS(Plan!$N$2:$N$554,$A22,Plan!$Q$2:$Q$554,"Biome fodder")+COUNTIFS(Plan!$N$2:$N$554,$A22,Plan!$Q$2:$Q$554,"Mystery pack")</f>
        <v/>
      </c>
      <c r="C22" s="69">
        <f>COUNTIFS(Plan!$N$2:$N$554,$A22,Plan!$Q$2:$Q$554,"Base",Plan!$E$2:$E$554,"yes")+COUNTIFS(Plan!$N$2:$N$554,$A22,Plan!$Q$2:$Q$554,"Tutorial",Plan!$E$2:$E$554,"yes")+COUNTIFS(Plan!$N$2:$N$554,$A22,Plan!$Q$2:$Q$554,"Map unique",Plan!$E$2:$E$554,"yes")+COUNTIFS(Plan!$N$2:$N$554,$A22,Plan!$Q$2:$Q$554,"Biome fodder",Plan!$E$2:$E$554,"yes")+COUNTIFS(Plan!$N$2:$N$554,$A22,Plan!$Q$2:$Q$554,"Mystery pack",Plan!$E$2:$E$554,"yes")</f>
        <v/>
      </c>
      <c r="D22" s="69">
        <f>COUNTIFS(Plan!$N$2:$N$554,$A22,Plan!$Q$2:$Q$554,"Faction")</f>
        <v/>
      </c>
      <c r="E22" s="69">
        <f>COUNTIFS(Plan!$N$2:$N$554,$A22,Plan!$Q$2:$Q$554,"Later world")</f>
        <v/>
      </c>
      <c r="F22" s="69">
        <f>IF(B22&lt;3,"Below 3",IF(B22&gt;6,"Above 6","OK (3–6)"))</f>
        <v/>
      </c>
    </row>
    <row r="23" ht="15" customHeight="1" s="39">
      <c r="A23" s="69" t="inlineStr">
        <is>
          <t>Duck &amp; Goose</t>
        </is>
      </c>
      <c r="B23" s="69">
        <f>COUNTIFS(Plan!$N$2:$N$554,$A23,Plan!$Q$2:$Q$554,"Base")+COUNTIFS(Plan!$N$2:$N$554,$A23,Plan!$Q$2:$Q$554,"Tutorial")+COUNTIFS(Plan!$N$2:$N$554,$A23,Plan!$Q$2:$Q$554,"Map unique")+COUNTIFS(Plan!$N$2:$N$554,$A23,Plan!$Q$2:$Q$554,"Biome fodder")+COUNTIFS(Plan!$N$2:$N$554,$A23,Plan!$Q$2:$Q$554,"Mystery pack")</f>
        <v/>
      </c>
      <c r="C23" s="69">
        <f>COUNTIFS(Plan!$N$2:$N$554,$A23,Plan!$Q$2:$Q$554,"Base",Plan!$E$2:$E$554,"yes")+COUNTIFS(Plan!$N$2:$N$554,$A23,Plan!$Q$2:$Q$554,"Tutorial",Plan!$E$2:$E$554,"yes")+COUNTIFS(Plan!$N$2:$N$554,$A23,Plan!$Q$2:$Q$554,"Map unique",Plan!$E$2:$E$554,"yes")+COUNTIFS(Plan!$N$2:$N$554,$A23,Plan!$Q$2:$Q$554,"Biome fodder",Plan!$E$2:$E$554,"yes")+COUNTIFS(Plan!$N$2:$N$554,$A23,Plan!$Q$2:$Q$554,"Mystery pack",Plan!$E$2:$E$554,"yes")</f>
        <v/>
      </c>
      <c r="D23" s="69">
        <f>COUNTIFS(Plan!$N$2:$N$554,$A23,Plan!$Q$2:$Q$554,"Faction")</f>
        <v/>
      </c>
      <c r="E23" s="69">
        <f>COUNTIFS(Plan!$N$2:$N$554,$A23,Plan!$Q$2:$Q$554,"Later world")</f>
        <v/>
      </c>
      <c r="F23" s="69">
        <f>IF(B23&lt;3,"Below 3",IF(B23&gt;6,"Above 6","OK (3–6)"))</f>
        <v/>
      </c>
    </row>
    <row r="24" ht="15" customHeight="1" s="39">
      <c r="A24" s="69" t="inlineStr">
        <is>
          <t>Eagle &amp; Hawk</t>
        </is>
      </c>
      <c r="B24" s="69">
        <f>COUNTIFS(Plan!$N$2:$N$554,$A24,Plan!$Q$2:$Q$554,"Base")+COUNTIFS(Plan!$N$2:$N$554,$A24,Plan!$Q$2:$Q$554,"Tutorial")+COUNTIFS(Plan!$N$2:$N$554,$A24,Plan!$Q$2:$Q$554,"Map unique")+COUNTIFS(Plan!$N$2:$N$554,$A24,Plan!$Q$2:$Q$554,"Biome fodder")+COUNTIFS(Plan!$N$2:$N$554,$A24,Plan!$Q$2:$Q$554,"Mystery pack")</f>
        <v/>
      </c>
      <c r="C24" s="69">
        <f>COUNTIFS(Plan!$N$2:$N$554,$A24,Plan!$Q$2:$Q$554,"Base",Plan!$E$2:$E$554,"yes")+COUNTIFS(Plan!$N$2:$N$554,$A24,Plan!$Q$2:$Q$554,"Tutorial",Plan!$E$2:$E$554,"yes")+COUNTIFS(Plan!$N$2:$N$554,$A24,Plan!$Q$2:$Q$554,"Map unique",Plan!$E$2:$E$554,"yes")+COUNTIFS(Plan!$N$2:$N$554,$A24,Plan!$Q$2:$Q$554,"Biome fodder",Plan!$E$2:$E$554,"yes")+COUNTIFS(Plan!$N$2:$N$554,$A24,Plan!$Q$2:$Q$554,"Mystery pack",Plan!$E$2:$E$554,"yes")</f>
        <v/>
      </c>
      <c r="D24" s="69">
        <f>COUNTIFS(Plan!$N$2:$N$554,$A24,Plan!$Q$2:$Q$554,"Faction")</f>
        <v/>
      </c>
      <c r="E24" s="69">
        <f>COUNTIFS(Plan!$N$2:$N$554,$A24,Plan!$Q$2:$Q$554,"Later world")</f>
        <v/>
      </c>
      <c r="F24" s="69">
        <f>IF(B24&lt;3,"Below 3",IF(B24&gt;6,"Above 6","OK (3–6)"))</f>
        <v/>
      </c>
    </row>
    <row r="25" ht="15" customHeight="1" s="39">
      <c r="A25" s="69" t="inlineStr">
        <is>
          <t>Eel</t>
        </is>
      </c>
      <c r="B25" s="69">
        <f>COUNTIFS(Plan!$N$2:$N$554,$A25,Plan!$Q$2:$Q$554,"Base")+COUNTIFS(Plan!$N$2:$N$554,$A25,Plan!$Q$2:$Q$554,"Tutorial")+COUNTIFS(Plan!$N$2:$N$554,$A25,Plan!$Q$2:$Q$554,"Map unique")+COUNTIFS(Plan!$N$2:$N$554,$A25,Plan!$Q$2:$Q$554,"Biome fodder")+COUNTIFS(Plan!$N$2:$N$554,$A25,Plan!$Q$2:$Q$554,"Mystery pack")</f>
        <v/>
      </c>
      <c r="C25" s="69">
        <f>COUNTIFS(Plan!$N$2:$N$554,$A25,Plan!$Q$2:$Q$554,"Base",Plan!$E$2:$E$554,"yes")+COUNTIFS(Plan!$N$2:$N$554,$A25,Plan!$Q$2:$Q$554,"Tutorial",Plan!$E$2:$E$554,"yes")+COUNTIFS(Plan!$N$2:$N$554,$A25,Plan!$Q$2:$Q$554,"Map unique",Plan!$E$2:$E$554,"yes")+COUNTIFS(Plan!$N$2:$N$554,$A25,Plan!$Q$2:$Q$554,"Biome fodder",Plan!$E$2:$E$554,"yes")+COUNTIFS(Plan!$N$2:$N$554,$A25,Plan!$Q$2:$Q$554,"Mystery pack",Plan!$E$2:$E$554,"yes")</f>
        <v/>
      </c>
      <c r="D25" s="69">
        <f>COUNTIFS(Plan!$N$2:$N$554,$A25,Plan!$Q$2:$Q$554,"Faction")</f>
        <v/>
      </c>
      <c r="E25" s="69">
        <f>COUNTIFS(Plan!$N$2:$N$554,$A25,Plan!$Q$2:$Q$554,"Later world")</f>
        <v/>
      </c>
      <c r="F25" s="69">
        <f>IF(B25&lt;3,"Below 3",IF(B25&gt;6,"Above 6","OK (3–6)"))</f>
        <v/>
      </c>
    </row>
    <row r="26" ht="15" customHeight="1" s="39">
      <c r="A26" s="69" t="inlineStr">
        <is>
          <t>Fish</t>
        </is>
      </c>
      <c r="B26" s="69">
        <f>COUNTIFS(Plan!$N$2:$N$554,$A26,Plan!$Q$2:$Q$554,"Base")+COUNTIFS(Plan!$N$2:$N$554,$A26,Plan!$Q$2:$Q$554,"Tutorial")+COUNTIFS(Plan!$N$2:$N$554,$A26,Plan!$Q$2:$Q$554,"Map unique")+COUNTIFS(Plan!$N$2:$N$554,$A26,Plan!$Q$2:$Q$554,"Biome fodder")+COUNTIFS(Plan!$N$2:$N$554,$A26,Plan!$Q$2:$Q$554,"Mystery pack")</f>
        <v/>
      </c>
      <c r="C26" s="69">
        <f>COUNTIFS(Plan!$N$2:$N$554,$A26,Plan!$Q$2:$Q$554,"Base",Plan!$E$2:$E$554,"yes")+COUNTIFS(Plan!$N$2:$N$554,$A26,Plan!$Q$2:$Q$554,"Tutorial",Plan!$E$2:$E$554,"yes")+COUNTIFS(Plan!$N$2:$N$554,$A26,Plan!$Q$2:$Q$554,"Map unique",Plan!$E$2:$E$554,"yes")+COUNTIFS(Plan!$N$2:$N$554,$A26,Plan!$Q$2:$Q$554,"Biome fodder",Plan!$E$2:$E$554,"yes")+COUNTIFS(Plan!$N$2:$N$554,$A26,Plan!$Q$2:$Q$554,"Mystery pack",Plan!$E$2:$E$554,"yes")</f>
        <v/>
      </c>
      <c r="D26" s="69">
        <f>COUNTIFS(Plan!$N$2:$N$554,$A26,Plan!$Q$2:$Q$554,"Faction")</f>
        <v/>
      </c>
      <c r="E26" s="69">
        <f>COUNTIFS(Plan!$N$2:$N$554,$A26,Plan!$Q$2:$Q$554,"Later world")</f>
        <v/>
      </c>
      <c r="F26" s="69">
        <f>IF(B26&lt;3,"Below 3",IF(B26&gt;6,"Above 6","OK (3–6)"))</f>
        <v/>
      </c>
    </row>
    <row r="27" ht="15" customHeight="1" s="39">
      <c r="A27" s="69" t="inlineStr">
        <is>
          <t>Fox</t>
        </is>
      </c>
      <c r="B27" s="69">
        <f>COUNTIFS(Plan!$N$2:$N$554,$A27,Plan!$Q$2:$Q$554,"Base")+COUNTIFS(Plan!$N$2:$N$554,$A27,Plan!$Q$2:$Q$554,"Tutorial")+COUNTIFS(Plan!$N$2:$N$554,$A27,Plan!$Q$2:$Q$554,"Map unique")+COUNTIFS(Plan!$N$2:$N$554,$A27,Plan!$Q$2:$Q$554,"Biome fodder")+COUNTIFS(Plan!$N$2:$N$554,$A27,Plan!$Q$2:$Q$554,"Mystery pack")</f>
        <v/>
      </c>
      <c r="C27" s="69">
        <f>COUNTIFS(Plan!$N$2:$N$554,$A27,Plan!$Q$2:$Q$554,"Base",Plan!$E$2:$E$554,"yes")+COUNTIFS(Plan!$N$2:$N$554,$A27,Plan!$Q$2:$Q$554,"Tutorial",Plan!$E$2:$E$554,"yes")+COUNTIFS(Plan!$N$2:$N$554,$A27,Plan!$Q$2:$Q$554,"Map unique",Plan!$E$2:$E$554,"yes")+COUNTIFS(Plan!$N$2:$N$554,$A27,Plan!$Q$2:$Q$554,"Biome fodder",Plan!$E$2:$E$554,"yes")+COUNTIFS(Plan!$N$2:$N$554,$A27,Plan!$Q$2:$Q$554,"Mystery pack",Plan!$E$2:$E$554,"yes")</f>
        <v/>
      </c>
      <c r="D27" s="69">
        <f>COUNTIFS(Plan!$N$2:$N$554,$A27,Plan!$Q$2:$Q$554,"Faction")</f>
        <v/>
      </c>
      <c r="E27" s="69">
        <f>COUNTIFS(Plan!$N$2:$N$554,$A27,Plan!$Q$2:$Q$554,"Later world")</f>
        <v/>
      </c>
      <c r="F27" s="69">
        <f>IF(B27&lt;3,"Below 3",IF(B27&gt;6,"Above 6","OK (3–6)"))</f>
        <v/>
      </c>
    </row>
    <row r="28" ht="15" customHeight="1" s="39">
      <c r="A28" s="69" t="inlineStr">
        <is>
          <t>Frog &amp; Toad</t>
        </is>
      </c>
      <c r="B28" s="69">
        <f>COUNTIFS(Plan!$N$2:$N$554,$A28,Plan!$Q$2:$Q$554,"Base")+COUNTIFS(Plan!$N$2:$N$554,$A28,Plan!$Q$2:$Q$554,"Tutorial")+COUNTIFS(Plan!$N$2:$N$554,$A28,Plan!$Q$2:$Q$554,"Map unique")+COUNTIFS(Plan!$N$2:$N$554,$A28,Plan!$Q$2:$Q$554,"Biome fodder")+COUNTIFS(Plan!$N$2:$N$554,$A28,Plan!$Q$2:$Q$554,"Mystery pack")</f>
        <v/>
      </c>
      <c r="C28" s="69">
        <f>COUNTIFS(Plan!$N$2:$N$554,$A28,Plan!$Q$2:$Q$554,"Base",Plan!$E$2:$E$554,"yes")+COUNTIFS(Plan!$N$2:$N$554,$A28,Plan!$Q$2:$Q$554,"Tutorial",Plan!$E$2:$E$554,"yes")+COUNTIFS(Plan!$N$2:$N$554,$A28,Plan!$Q$2:$Q$554,"Map unique",Plan!$E$2:$E$554,"yes")+COUNTIFS(Plan!$N$2:$N$554,$A28,Plan!$Q$2:$Q$554,"Biome fodder",Plan!$E$2:$E$554,"yes")+COUNTIFS(Plan!$N$2:$N$554,$A28,Plan!$Q$2:$Q$554,"Mystery pack",Plan!$E$2:$E$554,"yes")</f>
        <v/>
      </c>
      <c r="D28" s="69">
        <f>COUNTIFS(Plan!$N$2:$N$554,$A28,Plan!$Q$2:$Q$554,"Faction")</f>
        <v/>
      </c>
      <c r="E28" s="69">
        <f>COUNTIFS(Plan!$N$2:$N$554,$A28,Plan!$Q$2:$Q$554,"Later world")</f>
        <v/>
      </c>
      <c r="F28" s="69">
        <f>IF(B28&lt;3,"Below 3",IF(B28&gt;6,"Above 6","OK (3–6)"))</f>
        <v/>
      </c>
    </row>
    <row r="29" ht="15" customHeight="1" s="39">
      <c r="A29" s="69" t="inlineStr">
        <is>
          <t>Goat &amp; Ox</t>
        </is>
      </c>
      <c r="B29" s="69">
        <f>COUNTIFS(Plan!$N$2:$N$554,$A29,Plan!$Q$2:$Q$554,"Base")+COUNTIFS(Plan!$N$2:$N$554,$A29,Plan!$Q$2:$Q$554,"Tutorial")+COUNTIFS(Plan!$N$2:$N$554,$A29,Plan!$Q$2:$Q$554,"Map unique")+COUNTIFS(Plan!$N$2:$N$554,$A29,Plan!$Q$2:$Q$554,"Biome fodder")+COUNTIFS(Plan!$N$2:$N$554,$A29,Plan!$Q$2:$Q$554,"Mystery pack")</f>
        <v/>
      </c>
      <c r="C29" s="69">
        <f>COUNTIFS(Plan!$N$2:$N$554,$A29,Plan!$Q$2:$Q$554,"Base",Plan!$E$2:$E$554,"yes")+COUNTIFS(Plan!$N$2:$N$554,$A29,Plan!$Q$2:$Q$554,"Tutorial",Plan!$E$2:$E$554,"yes")+COUNTIFS(Plan!$N$2:$N$554,$A29,Plan!$Q$2:$Q$554,"Map unique",Plan!$E$2:$E$554,"yes")+COUNTIFS(Plan!$N$2:$N$554,$A29,Plan!$Q$2:$Q$554,"Biome fodder",Plan!$E$2:$E$554,"yes")+COUNTIFS(Plan!$N$2:$N$554,$A29,Plan!$Q$2:$Q$554,"Mystery pack",Plan!$E$2:$E$554,"yes")</f>
        <v/>
      </c>
      <c r="D29" s="69">
        <f>COUNTIFS(Plan!$N$2:$N$554,$A29,Plan!$Q$2:$Q$554,"Faction")</f>
        <v/>
      </c>
      <c r="E29" s="69">
        <f>COUNTIFS(Plan!$N$2:$N$554,$A29,Plan!$Q$2:$Q$554,"Later world")</f>
        <v/>
      </c>
      <c r="F29" s="69">
        <f>IF(B29&lt;3,"Below 3",IF(B29&gt;6,"Above 6","OK (3–6)"))</f>
        <v/>
      </c>
    </row>
    <row r="30" ht="15" customHeight="1" s="39">
      <c r="A30" s="69" t="inlineStr">
        <is>
          <t>Hedgehog</t>
        </is>
      </c>
      <c r="B30" s="69">
        <f>COUNTIFS(Plan!$N$2:$N$554,$A30,Plan!$Q$2:$Q$554,"Base")+COUNTIFS(Plan!$N$2:$N$554,$A30,Plan!$Q$2:$Q$554,"Tutorial")+COUNTIFS(Plan!$N$2:$N$554,$A30,Plan!$Q$2:$Q$554,"Map unique")+COUNTIFS(Plan!$N$2:$N$554,$A30,Plan!$Q$2:$Q$554,"Biome fodder")+COUNTIFS(Plan!$N$2:$N$554,$A30,Plan!$Q$2:$Q$554,"Mystery pack")</f>
        <v/>
      </c>
      <c r="C30" s="69">
        <f>COUNTIFS(Plan!$N$2:$N$554,$A30,Plan!$Q$2:$Q$554,"Base",Plan!$E$2:$E$554,"yes")+COUNTIFS(Plan!$N$2:$N$554,$A30,Plan!$Q$2:$Q$554,"Tutorial",Plan!$E$2:$E$554,"yes")+COUNTIFS(Plan!$N$2:$N$554,$A30,Plan!$Q$2:$Q$554,"Map unique",Plan!$E$2:$E$554,"yes")+COUNTIFS(Plan!$N$2:$N$554,$A30,Plan!$Q$2:$Q$554,"Biome fodder",Plan!$E$2:$E$554,"yes")+COUNTIFS(Plan!$N$2:$N$554,$A30,Plan!$Q$2:$Q$554,"Mystery pack",Plan!$E$2:$E$554,"yes")</f>
        <v/>
      </c>
      <c r="D30" s="69">
        <f>COUNTIFS(Plan!$N$2:$N$554,$A30,Plan!$Q$2:$Q$554,"Faction")</f>
        <v/>
      </c>
      <c r="E30" s="69">
        <f>COUNTIFS(Plan!$N$2:$N$554,$A30,Plan!$Q$2:$Q$554,"Later world")</f>
        <v/>
      </c>
      <c r="F30" s="69">
        <f>IF(B30&lt;3,"Below 3",IF(B30&gt;6,"Above 6","OK (3–6)"))</f>
        <v/>
      </c>
    </row>
    <row r="31" ht="15" customHeight="1" s="39">
      <c r="A31" s="69" t="inlineStr">
        <is>
          <t>Horse</t>
        </is>
      </c>
      <c r="B31" s="69">
        <f>COUNTIFS(Plan!$N$2:$N$554,$A31,Plan!$Q$2:$Q$554,"Base")+COUNTIFS(Plan!$N$2:$N$554,$A31,Plan!$Q$2:$Q$554,"Tutorial")+COUNTIFS(Plan!$N$2:$N$554,$A31,Plan!$Q$2:$Q$554,"Map unique")+COUNTIFS(Plan!$N$2:$N$554,$A31,Plan!$Q$2:$Q$554,"Biome fodder")+COUNTIFS(Plan!$N$2:$N$554,$A31,Plan!$Q$2:$Q$554,"Mystery pack")</f>
        <v/>
      </c>
      <c r="C31" s="69">
        <f>COUNTIFS(Plan!$N$2:$N$554,$A31,Plan!$Q$2:$Q$554,"Base",Plan!$E$2:$E$554,"yes")+COUNTIFS(Plan!$N$2:$N$554,$A31,Plan!$Q$2:$Q$554,"Tutorial",Plan!$E$2:$E$554,"yes")+COUNTIFS(Plan!$N$2:$N$554,$A31,Plan!$Q$2:$Q$554,"Map unique",Plan!$E$2:$E$554,"yes")+COUNTIFS(Plan!$N$2:$N$554,$A31,Plan!$Q$2:$Q$554,"Biome fodder",Plan!$E$2:$E$554,"yes")+COUNTIFS(Plan!$N$2:$N$554,$A31,Plan!$Q$2:$Q$554,"Mystery pack",Plan!$E$2:$E$554,"yes")</f>
        <v/>
      </c>
      <c r="D31" s="69">
        <f>COUNTIFS(Plan!$N$2:$N$554,$A31,Plan!$Q$2:$Q$554,"Faction")</f>
        <v/>
      </c>
      <c r="E31" s="69">
        <f>COUNTIFS(Plan!$N$2:$N$554,$A31,Plan!$Q$2:$Q$554,"Later world")</f>
        <v/>
      </c>
      <c r="F31" s="69">
        <f>IF(B31&lt;3,"Below 3",IF(B31&gt;6,"Above 6","OK (3–6)"))</f>
        <v/>
      </c>
    </row>
    <row r="32" ht="15" customHeight="1" s="39">
      <c r="A32" s="69" t="inlineStr">
        <is>
          <t>Hummingbird</t>
        </is>
      </c>
      <c r="B32" s="69">
        <f>COUNTIFS(Plan!$N$2:$N$554,$A32,Plan!$Q$2:$Q$554,"Base")+COUNTIFS(Plan!$N$2:$N$554,$A32,Plan!$Q$2:$Q$554,"Tutorial")+COUNTIFS(Plan!$N$2:$N$554,$A32,Plan!$Q$2:$Q$554,"Map unique")+COUNTIFS(Plan!$N$2:$N$554,$A32,Plan!$Q$2:$Q$554,"Biome fodder")+COUNTIFS(Plan!$N$2:$N$554,$A32,Plan!$Q$2:$Q$554,"Mystery pack")</f>
        <v/>
      </c>
      <c r="C32" s="69">
        <f>COUNTIFS(Plan!$N$2:$N$554,$A32,Plan!$Q$2:$Q$554,"Base",Plan!$E$2:$E$554,"yes")+COUNTIFS(Plan!$N$2:$N$554,$A32,Plan!$Q$2:$Q$554,"Tutorial",Plan!$E$2:$E$554,"yes")+COUNTIFS(Plan!$N$2:$N$554,$A32,Plan!$Q$2:$Q$554,"Map unique",Plan!$E$2:$E$554,"yes")+COUNTIFS(Plan!$N$2:$N$554,$A32,Plan!$Q$2:$Q$554,"Biome fodder",Plan!$E$2:$E$554,"yes")+COUNTIFS(Plan!$N$2:$N$554,$A32,Plan!$Q$2:$Q$554,"Mystery pack",Plan!$E$2:$E$554,"yes")</f>
        <v/>
      </c>
      <c r="D32" s="69">
        <f>COUNTIFS(Plan!$N$2:$N$554,$A32,Plan!$Q$2:$Q$554,"Faction")</f>
        <v/>
      </c>
      <c r="E32" s="69">
        <f>COUNTIFS(Plan!$N$2:$N$554,$A32,Plan!$Q$2:$Q$554,"Later world")</f>
        <v/>
      </c>
      <c r="F32" s="69">
        <f>IF(D32&gt;0,"Faction (exempt)",IF(B32&lt;3,"Below 3","OK"))</f>
        <v/>
      </c>
    </row>
    <row r="33" ht="15" customHeight="1" s="39">
      <c r="A33" s="69" t="inlineStr">
        <is>
          <t>Jackal &amp; Hyena</t>
        </is>
      </c>
      <c r="B33" s="69">
        <f>COUNTIFS(Plan!$N$2:$N$554,$A33,Plan!$Q$2:$Q$554,"Base")+COUNTIFS(Plan!$N$2:$N$554,$A33,Plan!$Q$2:$Q$554,"Tutorial")+COUNTIFS(Plan!$N$2:$N$554,$A33,Plan!$Q$2:$Q$554,"Map unique")+COUNTIFS(Plan!$N$2:$N$554,$A33,Plan!$Q$2:$Q$554,"Biome fodder")+COUNTIFS(Plan!$N$2:$N$554,$A33,Plan!$Q$2:$Q$554,"Mystery pack")</f>
        <v/>
      </c>
      <c r="C33" s="69">
        <f>COUNTIFS(Plan!$N$2:$N$554,$A33,Plan!$Q$2:$Q$554,"Base",Plan!$E$2:$E$554,"yes")+COUNTIFS(Plan!$N$2:$N$554,$A33,Plan!$Q$2:$Q$554,"Tutorial",Plan!$E$2:$E$554,"yes")+COUNTIFS(Plan!$N$2:$N$554,$A33,Plan!$Q$2:$Q$554,"Map unique",Plan!$E$2:$E$554,"yes")+COUNTIFS(Plan!$N$2:$N$554,$A33,Plan!$Q$2:$Q$554,"Biome fodder",Plan!$E$2:$E$554,"yes")+COUNTIFS(Plan!$N$2:$N$554,$A33,Plan!$Q$2:$Q$554,"Mystery pack",Plan!$E$2:$E$554,"yes")</f>
        <v/>
      </c>
      <c r="D33" s="69">
        <f>COUNTIFS(Plan!$N$2:$N$554,$A33,Plan!$Q$2:$Q$554,"Faction")</f>
        <v/>
      </c>
      <c r="E33" s="69">
        <f>COUNTIFS(Plan!$N$2:$N$554,$A33,Plan!$Q$2:$Q$554,"Later world")</f>
        <v/>
      </c>
      <c r="F33" s="69">
        <f>IF(B33&lt;3,"Below 3",IF(B33&gt;6,"Above 6","OK (3–6)"))</f>
        <v/>
      </c>
    </row>
    <row r="34" ht="15" customHeight="1" s="39">
      <c r="A34" s="69" t="inlineStr">
        <is>
          <t>Lizard</t>
        </is>
      </c>
      <c r="B34" s="69">
        <f>COUNTIFS(Plan!$N$2:$N$554,$A34,Plan!$Q$2:$Q$554,"Base")+COUNTIFS(Plan!$N$2:$N$554,$A34,Plan!$Q$2:$Q$554,"Tutorial")+COUNTIFS(Plan!$N$2:$N$554,$A34,Plan!$Q$2:$Q$554,"Map unique")+COUNTIFS(Plan!$N$2:$N$554,$A34,Plan!$Q$2:$Q$554,"Biome fodder")+COUNTIFS(Plan!$N$2:$N$554,$A34,Plan!$Q$2:$Q$554,"Mystery pack")</f>
        <v/>
      </c>
      <c r="C34" s="69">
        <f>COUNTIFS(Plan!$N$2:$N$554,$A34,Plan!$Q$2:$Q$554,"Base",Plan!$E$2:$E$554,"yes")+COUNTIFS(Plan!$N$2:$N$554,$A34,Plan!$Q$2:$Q$554,"Tutorial",Plan!$E$2:$E$554,"yes")+COUNTIFS(Plan!$N$2:$N$554,$A34,Plan!$Q$2:$Q$554,"Map unique",Plan!$E$2:$E$554,"yes")+COUNTIFS(Plan!$N$2:$N$554,$A34,Plan!$Q$2:$Q$554,"Biome fodder",Plan!$E$2:$E$554,"yes")+COUNTIFS(Plan!$N$2:$N$554,$A34,Plan!$Q$2:$Q$554,"Mystery pack",Plan!$E$2:$E$554,"yes")</f>
        <v/>
      </c>
      <c r="D34" s="69">
        <f>COUNTIFS(Plan!$N$2:$N$554,$A34,Plan!$Q$2:$Q$554,"Faction")</f>
        <v/>
      </c>
      <c r="E34" s="69">
        <f>COUNTIFS(Plan!$N$2:$N$554,$A34,Plan!$Q$2:$Q$554,"Later world")</f>
        <v/>
      </c>
      <c r="F34" s="69">
        <f>IF(B34&lt;3,"Below 3",IF(B34&gt;6,"Above 6","OK (3–6)"))</f>
        <v/>
      </c>
    </row>
    <row r="35" ht="15" customHeight="1" s="39">
      <c r="A35" s="69" t="inlineStr">
        <is>
          <t>Meerkat</t>
        </is>
      </c>
      <c r="B35" s="69">
        <f>COUNTIFS(Plan!$N$2:$N$554,$A35,Plan!$Q$2:$Q$554,"Base")+COUNTIFS(Plan!$N$2:$N$554,$A35,Plan!$Q$2:$Q$554,"Tutorial")+COUNTIFS(Plan!$N$2:$N$554,$A35,Plan!$Q$2:$Q$554,"Map unique")+COUNTIFS(Plan!$N$2:$N$554,$A35,Plan!$Q$2:$Q$554,"Biome fodder")+COUNTIFS(Plan!$N$2:$N$554,$A35,Plan!$Q$2:$Q$554,"Mystery pack")</f>
        <v/>
      </c>
      <c r="C35" s="69">
        <f>COUNTIFS(Plan!$N$2:$N$554,$A35,Plan!$Q$2:$Q$554,"Base",Plan!$E$2:$E$554,"yes")+COUNTIFS(Plan!$N$2:$N$554,$A35,Plan!$Q$2:$Q$554,"Tutorial",Plan!$E$2:$E$554,"yes")+COUNTIFS(Plan!$N$2:$N$554,$A35,Plan!$Q$2:$Q$554,"Map unique",Plan!$E$2:$E$554,"yes")+COUNTIFS(Plan!$N$2:$N$554,$A35,Plan!$Q$2:$Q$554,"Biome fodder",Plan!$E$2:$E$554,"yes")+COUNTIFS(Plan!$N$2:$N$554,$A35,Plan!$Q$2:$Q$554,"Mystery pack",Plan!$E$2:$E$554,"yes")</f>
        <v/>
      </c>
      <c r="D35" s="69">
        <f>COUNTIFS(Plan!$N$2:$N$554,$A35,Plan!$Q$2:$Q$554,"Faction")</f>
        <v/>
      </c>
      <c r="E35" s="69">
        <f>COUNTIFS(Plan!$N$2:$N$554,$A35,Plan!$Q$2:$Q$554,"Later world")</f>
        <v/>
      </c>
      <c r="F35" s="69">
        <f>IF(B35&lt;3,"Below 3",IF(B35&gt;6,"Above 6","OK (3–6)"))</f>
        <v/>
      </c>
    </row>
    <row r="36" ht="15" customHeight="1" s="39">
      <c r="A36" s="69" t="inlineStr">
        <is>
          <t>Mole</t>
        </is>
      </c>
      <c r="B36" s="69">
        <f>COUNTIFS(Plan!$N$2:$N$554,$A36,Plan!$Q$2:$Q$554,"Base")+COUNTIFS(Plan!$N$2:$N$554,$A36,Plan!$Q$2:$Q$554,"Tutorial")+COUNTIFS(Plan!$N$2:$N$554,$A36,Plan!$Q$2:$Q$554,"Map unique")+COUNTIFS(Plan!$N$2:$N$554,$A36,Plan!$Q$2:$Q$554,"Biome fodder")+COUNTIFS(Plan!$N$2:$N$554,$A36,Plan!$Q$2:$Q$554,"Mystery pack")</f>
        <v/>
      </c>
      <c r="C36" s="69">
        <f>COUNTIFS(Plan!$N$2:$N$554,$A36,Plan!$Q$2:$Q$554,"Base",Plan!$E$2:$E$554,"yes")+COUNTIFS(Plan!$N$2:$N$554,$A36,Plan!$Q$2:$Q$554,"Tutorial",Plan!$E$2:$E$554,"yes")+COUNTIFS(Plan!$N$2:$N$554,$A36,Plan!$Q$2:$Q$554,"Map unique",Plan!$E$2:$E$554,"yes")+COUNTIFS(Plan!$N$2:$N$554,$A36,Plan!$Q$2:$Q$554,"Biome fodder",Plan!$E$2:$E$554,"yes")+COUNTIFS(Plan!$N$2:$N$554,$A36,Plan!$Q$2:$Q$554,"Mystery pack",Plan!$E$2:$E$554,"yes")</f>
        <v/>
      </c>
      <c r="D36" s="69">
        <f>COUNTIFS(Plan!$N$2:$N$554,$A36,Plan!$Q$2:$Q$554,"Faction")</f>
        <v/>
      </c>
      <c r="E36" s="69">
        <f>COUNTIFS(Plan!$N$2:$N$554,$A36,Plan!$Q$2:$Q$554,"Later world")</f>
        <v/>
      </c>
      <c r="F36" s="69">
        <f>IF(B36&lt;3,"Below 3",IF(B36&gt;6,"Above 6","OK (3–6)"))</f>
        <v/>
      </c>
    </row>
    <row r="37" ht="15" customHeight="1" s="39">
      <c r="A37" s="69" t="inlineStr">
        <is>
          <t>Moth &amp; Butterfly</t>
        </is>
      </c>
      <c r="B37" s="69">
        <f>COUNTIFS(Plan!$N$2:$N$554,$A37,Plan!$Q$2:$Q$554,"Base")+COUNTIFS(Plan!$N$2:$N$554,$A37,Plan!$Q$2:$Q$554,"Tutorial")+COUNTIFS(Plan!$N$2:$N$554,$A37,Plan!$Q$2:$Q$554,"Map unique")+COUNTIFS(Plan!$N$2:$N$554,$A37,Plan!$Q$2:$Q$554,"Biome fodder")+COUNTIFS(Plan!$N$2:$N$554,$A37,Plan!$Q$2:$Q$554,"Mystery pack")</f>
        <v/>
      </c>
      <c r="C37" s="69">
        <f>COUNTIFS(Plan!$N$2:$N$554,$A37,Plan!$Q$2:$Q$554,"Base",Plan!$E$2:$E$554,"yes")+COUNTIFS(Plan!$N$2:$N$554,$A37,Plan!$Q$2:$Q$554,"Tutorial",Plan!$E$2:$E$554,"yes")+COUNTIFS(Plan!$N$2:$N$554,$A37,Plan!$Q$2:$Q$554,"Map unique",Plan!$E$2:$E$554,"yes")+COUNTIFS(Plan!$N$2:$N$554,$A37,Plan!$Q$2:$Q$554,"Biome fodder",Plan!$E$2:$E$554,"yes")+COUNTIFS(Plan!$N$2:$N$554,$A37,Plan!$Q$2:$Q$554,"Mystery pack",Plan!$E$2:$E$554,"yes")</f>
        <v/>
      </c>
      <c r="D37" s="69">
        <f>COUNTIFS(Plan!$N$2:$N$554,$A37,Plan!$Q$2:$Q$554,"Faction")</f>
        <v/>
      </c>
      <c r="E37" s="69">
        <f>COUNTIFS(Plan!$N$2:$N$554,$A37,Plan!$Q$2:$Q$554,"Later world")</f>
        <v/>
      </c>
      <c r="F37" s="69">
        <f>IF(B37&lt;3,"Below 3",IF(B37&gt;6,"Above 6","OK (3–6)"))</f>
        <v/>
      </c>
    </row>
    <row r="38" ht="15" customHeight="1" s="39">
      <c r="A38" s="69" t="inlineStr">
        <is>
          <t>Mouse &amp; Rat</t>
        </is>
      </c>
      <c r="B38" s="69">
        <f>COUNTIFS(Plan!$N$2:$N$554,$A38,Plan!$Q$2:$Q$554,"Base")+COUNTIFS(Plan!$N$2:$N$554,$A38,Plan!$Q$2:$Q$554,"Tutorial")+COUNTIFS(Plan!$N$2:$N$554,$A38,Plan!$Q$2:$Q$554,"Map unique")+COUNTIFS(Plan!$N$2:$N$554,$A38,Plan!$Q$2:$Q$554,"Biome fodder")+COUNTIFS(Plan!$N$2:$N$554,$A38,Plan!$Q$2:$Q$554,"Mystery pack")</f>
        <v/>
      </c>
      <c r="C38" s="69">
        <f>COUNTIFS(Plan!$N$2:$N$554,$A38,Plan!$Q$2:$Q$554,"Base",Plan!$E$2:$E$554,"yes")+COUNTIFS(Plan!$N$2:$N$554,$A38,Plan!$Q$2:$Q$554,"Tutorial",Plan!$E$2:$E$554,"yes")+COUNTIFS(Plan!$N$2:$N$554,$A38,Plan!$Q$2:$Q$554,"Map unique",Plan!$E$2:$E$554,"yes")+COUNTIFS(Plan!$N$2:$N$554,$A38,Plan!$Q$2:$Q$554,"Biome fodder",Plan!$E$2:$E$554,"yes")+COUNTIFS(Plan!$N$2:$N$554,$A38,Plan!$Q$2:$Q$554,"Mystery pack",Plan!$E$2:$E$554,"yes")</f>
        <v/>
      </c>
      <c r="D38" s="69">
        <f>COUNTIFS(Plan!$N$2:$N$554,$A38,Plan!$Q$2:$Q$554,"Faction")</f>
        <v/>
      </c>
      <c r="E38" s="69">
        <f>COUNTIFS(Plan!$N$2:$N$554,$A38,Plan!$Q$2:$Q$554,"Later world")</f>
        <v/>
      </c>
      <c r="F38" s="69">
        <f>IF(B38&lt;3,"Below 3",IF(B38&gt;6,"Above 6","OK (3–6)"))</f>
        <v/>
      </c>
    </row>
    <row r="39" ht="15" customHeight="1" s="39">
      <c r="A39" s="69" t="inlineStr">
        <is>
          <t>Newt &amp; Salamander</t>
        </is>
      </c>
      <c r="B39" s="69">
        <f>COUNTIFS(Plan!$N$2:$N$554,$A39,Plan!$Q$2:$Q$554,"Base")+COUNTIFS(Plan!$N$2:$N$554,$A39,Plan!$Q$2:$Q$554,"Tutorial")+COUNTIFS(Plan!$N$2:$N$554,$A39,Plan!$Q$2:$Q$554,"Map unique")+COUNTIFS(Plan!$N$2:$N$554,$A39,Plan!$Q$2:$Q$554,"Biome fodder")+COUNTIFS(Plan!$N$2:$N$554,$A39,Plan!$Q$2:$Q$554,"Mystery pack")</f>
        <v/>
      </c>
      <c r="C39" s="69">
        <f>COUNTIFS(Plan!$N$2:$N$554,$A39,Plan!$Q$2:$Q$554,"Base",Plan!$E$2:$E$554,"yes")+COUNTIFS(Plan!$N$2:$N$554,$A39,Plan!$Q$2:$Q$554,"Tutorial",Plan!$E$2:$E$554,"yes")+COUNTIFS(Plan!$N$2:$N$554,$A39,Plan!$Q$2:$Q$554,"Map unique",Plan!$E$2:$E$554,"yes")+COUNTIFS(Plan!$N$2:$N$554,$A39,Plan!$Q$2:$Q$554,"Biome fodder",Plan!$E$2:$E$554,"yes")+COUNTIFS(Plan!$N$2:$N$554,$A39,Plan!$Q$2:$Q$554,"Mystery pack",Plan!$E$2:$E$554,"yes")</f>
        <v/>
      </c>
      <c r="D39" s="69">
        <f>COUNTIFS(Plan!$N$2:$N$554,$A39,Plan!$Q$2:$Q$554,"Faction")</f>
        <v/>
      </c>
      <c r="E39" s="69">
        <f>COUNTIFS(Plan!$N$2:$N$554,$A39,Plan!$Q$2:$Q$554,"Later world")</f>
        <v/>
      </c>
      <c r="F39" s="69">
        <f>IF(B39&lt;3,"Below 3",IF(B39&gt;6,"Above 6","OK (3–6)"))</f>
        <v/>
      </c>
    </row>
    <row r="40" ht="15" customHeight="1" s="39">
      <c r="A40" s="69" t="inlineStr">
        <is>
          <t>Octopus &amp; Squid</t>
        </is>
      </c>
      <c r="B40" s="69">
        <f>COUNTIFS(Plan!$N$2:$N$554,$A40,Plan!$Q$2:$Q$554,"Base")+COUNTIFS(Plan!$N$2:$N$554,$A40,Plan!$Q$2:$Q$554,"Tutorial")+COUNTIFS(Plan!$N$2:$N$554,$A40,Plan!$Q$2:$Q$554,"Map unique")+COUNTIFS(Plan!$N$2:$N$554,$A40,Plan!$Q$2:$Q$554,"Biome fodder")+COUNTIFS(Plan!$N$2:$N$554,$A40,Plan!$Q$2:$Q$554,"Mystery pack")</f>
        <v/>
      </c>
      <c r="C40" s="69">
        <f>COUNTIFS(Plan!$N$2:$N$554,$A40,Plan!$Q$2:$Q$554,"Base",Plan!$E$2:$E$554,"yes")+COUNTIFS(Plan!$N$2:$N$554,$A40,Plan!$Q$2:$Q$554,"Tutorial",Plan!$E$2:$E$554,"yes")+COUNTIFS(Plan!$N$2:$N$554,$A40,Plan!$Q$2:$Q$554,"Map unique",Plan!$E$2:$E$554,"yes")+COUNTIFS(Plan!$N$2:$N$554,$A40,Plan!$Q$2:$Q$554,"Biome fodder",Plan!$E$2:$E$554,"yes")+COUNTIFS(Plan!$N$2:$N$554,$A40,Plan!$Q$2:$Q$554,"Mystery pack",Plan!$E$2:$E$554,"yes")</f>
        <v/>
      </c>
      <c r="D40" s="69">
        <f>COUNTIFS(Plan!$N$2:$N$554,$A40,Plan!$Q$2:$Q$554,"Faction")</f>
        <v/>
      </c>
      <c r="E40" s="69">
        <f>COUNTIFS(Plan!$N$2:$N$554,$A40,Plan!$Q$2:$Q$554,"Later world")</f>
        <v/>
      </c>
      <c r="F40" s="69">
        <f>IF(B40&lt;3,"Below 3",IF(B40&gt;6,"Above 6","OK (3–6)"))</f>
        <v/>
      </c>
    </row>
    <row r="41" ht="15" customHeight="1" s="39">
      <c r="A41" s="69" t="inlineStr">
        <is>
          <t>Otter</t>
        </is>
      </c>
      <c r="B41" s="69">
        <f>COUNTIFS(Plan!$N$2:$N$554,$A41,Plan!$Q$2:$Q$554,"Base")+COUNTIFS(Plan!$N$2:$N$554,$A41,Plan!$Q$2:$Q$554,"Tutorial")+COUNTIFS(Plan!$N$2:$N$554,$A41,Plan!$Q$2:$Q$554,"Map unique")+COUNTIFS(Plan!$N$2:$N$554,$A41,Plan!$Q$2:$Q$554,"Biome fodder")+COUNTIFS(Plan!$N$2:$N$554,$A41,Plan!$Q$2:$Q$554,"Mystery pack")</f>
        <v/>
      </c>
      <c r="C41" s="69">
        <f>COUNTIFS(Plan!$N$2:$N$554,$A41,Plan!$Q$2:$Q$554,"Base",Plan!$E$2:$E$554,"yes")+COUNTIFS(Plan!$N$2:$N$554,$A41,Plan!$Q$2:$Q$554,"Tutorial",Plan!$E$2:$E$554,"yes")+COUNTIFS(Plan!$N$2:$N$554,$A41,Plan!$Q$2:$Q$554,"Map unique",Plan!$E$2:$E$554,"yes")+COUNTIFS(Plan!$N$2:$N$554,$A41,Plan!$Q$2:$Q$554,"Biome fodder",Plan!$E$2:$E$554,"yes")+COUNTIFS(Plan!$N$2:$N$554,$A41,Plan!$Q$2:$Q$554,"Mystery pack",Plan!$E$2:$E$554,"yes")</f>
        <v/>
      </c>
      <c r="D41" s="69">
        <f>COUNTIFS(Plan!$N$2:$N$554,$A41,Plan!$Q$2:$Q$554,"Faction")</f>
        <v/>
      </c>
      <c r="E41" s="69">
        <f>COUNTIFS(Plan!$N$2:$N$554,$A41,Plan!$Q$2:$Q$554,"Later world")</f>
        <v/>
      </c>
      <c r="F41" s="69">
        <f>IF(D41&gt;0,"Faction (exempt)",IF(B41&lt;3,"Below 3","OK"))</f>
        <v/>
      </c>
    </row>
    <row r="42" ht="15" customHeight="1" s="39">
      <c r="A42" s="69" t="inlineStr">
        <is>
          <t>Otter &amp; Hummingbird</t>
        </is>
      </c>
      <c r="B42" s="69">
        <f>COUNTIFS(Plan!$N$2:$N$554,$A42,Plan!$Q$2:$Q$554,"Base")+COUNTIFS(Plan!$N$2:$N$554,$A42,Plan!$Q$2:$Q$554,"Tutorial")+COUNTIFS(Plan!$N$2:$N$554,$A42,Plan!$Q$2:$Q$554,"Map unique")+COUNTIFS(Plan!$N$2:$N$554,$A42,Plan!$Q$2:$Q$554,"Biome fodder")+COUNTIFS(Plan!$N$2:$N$554,$A42,Plan!$Q$2:$Q$554,"Mystery pack")</f>
        <v/>
      </c>
      <c r="C42" s="69">
        <f>COUNTIFS(Plan!$N$2:$N$554,$A42,Plan!$Q$2:$Q$554,"Base",Plan!$E$2:$E$554,"yes")+COUNTIFS(Plan!$N$2:$N$554,$A42,Plan!$Q$2:$Q$554,"Tutorial",Plan!$E$2:$E$554,"yes")+COUNTIFS(Plan!$N$2:$N$554,$A42,Plan!$Q$2:$Q$554,"Map unique",Plan!$E$2:$E$554,"yes")+COUNTIFS(Plan!$N$2:$N$554,$A42,Plan!$Q$2:$Q$554,"Biome fodder",Plan!$E$2:$E$554,"yes")+COUNTIFS(Plan!$N$2:$N$554,$A42,Plan!$Q$2:$Q$554,"Mystery pack",Plan!$E$2:$E$554,"yes")</f>
        <v/>
      </c>
      <c r="D42" s="69">
        <f>COUNTIFS(Plan!$N$2:$N$554,$A42,Plan!$Q$2:$Q$554,"Faction")</f>
        <v/>
      </c>
      <c r="E42" s="69">
        <f>COUNTIFS(Plan!$N$2:$N$554,$A42,Plan!$Q$2:$Q$554,"Later world")</f>
        <v/>
      </c>
      <c r="F42" s="69" t="inlineStr">
        <is>
          <t>Exempt (the friendship card)</t>
        </is>
      </c>
    </row>
    <row r="43" ht="15" customHeight="1" s="39">
      <c r="A43" s="69" t="inlineStr">
        <is>
          <t>Owl</t>
        </is>
      </c>
      <c r="B43" s="69">
        <f>COUNTIFS(Plan!$N$2:$N$554,$A43,Plan!$Q$2:$Q$554,"Base")+COUNTIFS(Plan!$N$2:$N$554,$A43,Plan!$Q$2:$Q$554,"Tutorial")+COUNTIFS(Plan!$N$2:$N$554,$A43,Plan!$Q$2:$Q$554,"Map unique")+COUNTIFS(Plan!$N$2:$N$554,$A43,Plan!$Q$2:$Q$554,"Biome fodder")+COUNTIFS(Plan!$N$2:$N$554,$A43,Plan!$Q$2:$Q$554,"Mystery pack")</f>
        <v/>
      </c>
      <c r="C43" s="69">
        <f>COUNTIFS(Plan!$N$2:$N$554,$A43,Plan!$Q$2:$Q$554,"Base",Plan!$E$2:$E$554,"yes")+COUNTIFS(Plan!$N$2:$N$554,$A43,Plan!$Q$2:$Q$554,"Tutorial",Plan!$E$2:$E$554,"yes")+COUNTIFS(Plan!$N$2:$N$554,$A43,Plan!$Q$2:$Q$554,"Map unique",Plan!$E$2:$E$554,"yes")+COUNTIFS(Plan!$N$2:$N$554,$A43,Plan!$Q$2:$Q$554,"Biome fodder",Plan!$E$2:$E$554,"yes")+COUNTIFS(Plan!$N$2:$N$554,$A43,Plan!$Q$2:$Q$554,"Mystery pack",Plan!$E$2:$E$554,"yes")</f>
        <v/>
      </c>
      <c r="D43" s="69">
        <f>COUNTIFS(Plan!$N$2:$N$554,$A43,Plan!$Q$2:$Q$554,"Faction")</f>
        <v/>
      </c>
      <c r="E43" s="69">
        <f>COUNTIFS(Plan!$N$2:$N$554,$A43,Plan!$Q$2:$Q$554,"Later world")</f>
        <v/>
      </c>
      <c r="F43" s="69">
        <f>IF(B43&lt;3,"Below 3",IF(B43&gt;6,"Above 6","OK (3–6)"))</f>
        <v/>
      </c>
    </row>
    <row r="44" ht="15" customHeight="1" s="39">
      <c r="A44" s="69" t="inlineStr">
        <is>
          <t>Porcupine</t>
        </is>
      </c>
      <c r="B44" s="69">
        <f>COUNTIFS(Plan!$N$2:$N$554,$A44,Plan!$Q$2:$Q$554,"Base")+COUNTIFS(Plan!$N$2:$N$554,$A44,Plan!$Q$2:$Q$554,"Tutorial")+COUNTIFS(Plan!$N$2:$N$554,$A44,Plan!$Q$2:$Q$554,"Map unique")+COUNTIFS(Plan!$N$2:$N$554,$A44,Plan!$Q$2:$Q$554,"Biome fodder")+COUNTIFS(Plan!$N$2:$N$554,$A44,Plan!$Q$2:$Q$554,"Mystery pack")</f>
        <v/>
      </c>
      <c r="C44" s="69">
        <f>COUNTIFS(Plan!$N$2:$N$554,$A44,Plan!$Q$2:$Q$554,"Base",Plan!$E$2:$E$554,"yes")+COUNTIFS(Plan!$N$2:$N$554,$A44,Plan!$Q$2:$Q$554,"Tutorial",Plan!$E$2:$E$554,"yes")+COUNTIFS(Plan!$N$2:$N$554,$A44,Plan!$Q$2:$Q$554,"Map unique",Plan!$E$2:$E$554,"yes")+COUNTIFS(Plan!$N$2:$N$554,$A44,Plan!$Q$2:$Q$554,"Biome fodder",Plan!$E$2:$E$554,"yes")+COUNTIFS(Plan!$N$2:$N$554,$A44,Plan!$Q$2:$Q$554,"Mystery pack",Plan!$E$2:$E$554,"yes")</f>
        <v/>
      </c>
      <c r="D44" s="69">
        <f>COUNTIFS(Plan!$N$2:$N$554,$A44,Plan!$Q$2:$Q$554,"Faction")</f>
        <v/>
      </c>
      <c r="E44" s="69">
        <f>COUNTIFS(Plan!$N$2:$N$554,$A44,Plan!$Q$2:$Q$554,"Later world")</f>
        <v/>
      </c>
      <c r="F44" s="69">
        <f>IF(B44&lt;3,"Below 3",IF(B44&gt;6,"Above 6","OK (3–6)"))</f>
        <v/>
      </c>
    </row>
    <row r="45" ht="15" customHeight="1" s="39">
      <c r="A45" s="69" t="inlineStr">
        <is>
          <t>Rabbit &amp; Hare</t>
        </is>
      </c>
      <c r="B45" s="69">
        <f>COUNTIFS(Plan!$N$2:$N$554,$A45,Plan!$Q$2:$Q$554,"Base")+COUNTIFS(Plan!$N$2:$N$554,$A45,Plan!$Q$2:$Q$554,"Tutorial")+COUNTIFS(Plan!$N$2:$N$554,$A45,Plan!$Q$2:$Q$554,"Map unique")+COUNTIFS(Plan!$N$2:$N$554,$A45,Plan!$Q$2:$Q$554,"Biome fodder")+COUNTIFS(Plan!$N$2:$N$554,$A45,Plan!$Q$2:$Q$554,"Mystery pack")</f>
        <v/>
      </c>
      <c r="C45" s="69">
        <f>COUNTIFS(Plan!$N$2:$N$554,$A45,Plan!$Q$2:$Q$554,"Base",Plan!$E$2:$E$554,"yes")+COUNTIFS(Plan!$N$2:$N$554,$A45,Plan!$Q$2:$Q$554,"Tutorial",Plan!$E$2:$E$554,"yes")+COUNTIFS(Plan!$N$2:$N$554,$A45,Plan!$Q$2:$Q$554,"Map unique",Plan!$E$2:$E$554,"yes")+COUNTIFS(Plan!$N$2:$N$554,$A45,Plan!$Q$2:$Q$554,"Biome fodder",Plan!$E$2:$E$554,"yes")+COUNTIFS(Plan!$N$2:$N$554,$A45,Plan!$Q$2:$Q$554,"Mystery pack",Plan!$E$2:$E$554,"yes")</f>
        <v/>
      </c>
      <c r="D45" s="69">
        <f>COUNTIFS(Plan!$N$2:$N$554,$A45,Plan!$Q$2:$Q$554,"Faction")</f>
        <v/>
      </c>
      <c r="E45" s="69">
        <f>COUNTIFS(Plan!$N$2:$N$554,$A45,Plan!$Q$2:$Q$554,"Later world")</f>
        <v/>
      </c>
      <c r="F45" s="69">
        <f>IF(B45&lt;3,"Below 3",IF(B45&gt;6,"Above 6","OK (3–6)"))</f>
        <v/>
      </c>
    </row>
    <row r="46" ht="15" customHeight="1" s="39">
      <c r="A46" s="69" t="inlineStr">
        <is>
          <t>Raccoon</t>
        </is>
      </c>
      <c r="B46" s="69">
        <f>COUNTIFS(Plan!$N$2:$N$554,$A46,Plan!$Q$2:$Q$554,"Base")+COUNTIFS(Plan!$N$2:$N$554,$A46,Plan!$Q$2:$Q$554,"Tutorial")+COUNTIFS(Plan!$N$2:$N$554,$A46,Plan!$Q$2:$Q$554,"Map unique")+COUNTIFS(Plan!$N$2:$N$554,$A46,Plan!$Q$2:$Q$554,"Biome fodder")+COUNTIFS(Plan!$N$2:$N$554,$A46,Plan!$Q$2:$Q$554,"Mystery pack")</f>
        <v/>
      </c>
      <c r="C46" s="69">
        <f>COUNTIFS(Plan!$N$2:$N$554,$A46,Plan!$Q$2:$Q$554,"Base",Plan!$E$2:$E$554,"yes")+COUNTIFS(Plan!$N$2:$N$554,$A46,Plan!$Q$2:$Q$554,"Tutorial",Plan!$E$2:$E$554,"yes")+COUNTIFS(Plan!$N$2:$N$554,$A46,Plan!$Q$2:$Q$554,"Map unique",Plan!$E$2:$E$554,"yes")+COUNTIFS(Plan!$N$2:$N$554,$A46,Plan!$Q$2:$Q$554,"Biome fodder",Plan!$E$2:$E$554,"yes")+COUNTIFS(Plan!$N$2:$N$554,$A46,Plan!$Q$2:$Q$554,"Mystery pack",Plan!$E$2:$E$554,"yes")</f>
        <v/>
      </c>
      <c r="D46" s="69">
        <f>COUNTIFS(Plan!$N$2:$N$554,$A46,Plan!$Q$2:$Q$554,"Faction")</f>
        <v/>
      </c>
      <c r="E46" s="69">
        <f>COUNTIFS(Plan!$N$2:$N$554,$A46,Plan!$Q$2:$Q$554,"Later world")</f>
        <v/>
      </c>
      <c r="F46" s="69">
        <f>IF(B46&lt;3,"Below 3",IF(B46&gt;6,"Above 6","OK (3–6)"))</f>
        <v/>
      </c>
    </row>
    <row r="47" ht="15" customHeight="1" s="39">
      <c r="A47" s="69" t="inlineStr">
        <is>
          <t>Raven &amp; Crow</t>
        </is>
      </c>
      <c r="B47" s="69">
        <f>COUNTIFS(Plan!$N$2:$N$554,$A47,Plan!$Q$2:$Q$554,"Base")+COUNTIFS(Plan!$N$2:$N$554,$A47,Plan!$Q$2:$Q$554,"Tutorial")+COUNTIFS(Plan!$N$2:$N$554,$A47,Plan!$Q$2:$Q$554,"Map unique")+COUNTIFS(Plan!$N$2:$N$554,$A47,Plan!$Q$2:$Q$554,"Biome fodder")+COUNTIFS(Plan!$N$2:$N$554,$A47,Plan!$Q$2:$Q$554,"Mystery pack")</f>
        <v/>
      </c>
      <c r="C47" s="69">
        <f>COUNTIFS(Plan!$N$2:$N$554,$A47,Plan!$Q$2:$Q$554,"Base",Plan!$E$2:$E$554,"yes")+COUNTIFS(Plan!$N$2:$N$554,$A47,Plan!$Q$2:$Q$554,"Tutorial",Plan!$E$2:$E$554,"yes")+COUNTIFS(Plan!$N$2:$N$554,$A47,Plan!$Q$2:$Q$554,"Map unique",Plan!$E$2:$E$554,"yes")+COUNTIFS(Plan!$N$2:$N$554,$A47,Plan!$Q$2:$Q$554,"Biome fodder",Plan!$E$2:$E$554,"yes")+COUNTIFS(Plan!$N$2:$N$554,$A47,Plan!$Q$2:$Q$554,"Mystery pack",Plan!$E$2:$E$554,"yes")</f>
        <v/>
      </c>
      <c r="D47" s="69">
        <f>COUNTIFS(Plan!$N$2:$N$554,$A47,Plan!$Q$2:$Q$554,"Faction")</f>
        <v/>
      </c>
      <c r="E47" s="69">
        <f>COUNTIFS(Plan!$N$2:$N$554,$A47,Plan!$Q$2:$Q$554,"Later world")</f>
        <v/>
      </c>
      <c r="F47" s="69">
        <f>IF(B47&lt;3,"Below 3",IF(B47&gt;6,"Above 6","OK (3–6)"))</f>
        <v/>
      </c>
    </row>
    <row r="48" ht="15" customHeight="1" s="39">
      <c r="A48" s="69" t="inlineStr">
        <is>
          <t>Reef &amp; Sea Fish</t>
        </is>
      </c>
      <c r="B48" s="69">
        <f>COUNTIFS(Plan!$N$2:$N$554,$A48,Plan!$Q$2:$Q$554,"Base")+COUNTIFS(Plan!$N$2:$N$554,$A48,Plan!$Q$2:$Q$554,"Tutorial")+COUNTIFS(Plan!$N$2:$N$554,$A48,Plan!$Q$2:$Q$554,"Map unique")+COUNTIFS(Plan!$N$2:$N$554,$A48,Plan!$Q$2:$Q$554,"Biome fodder")+COUNTIFS(Plan!$N$2:$N$554,$A48,Plan!$Q$2:$Q$554,"Mystery pack")</f>
        <v/>
      </c>
      <c r="C48" s="69">
        <f>COUNTIFS(Plan!$N$2:$N$554,$A48,Plan!$Q$2:$Q$554,"Base",Plan!$E$2:$E$554,"yes")+COUNTIFS(Plan!$N$2:$N$554,$A48,Plan!$Q$2:$Q$554,"Tutorial",Plan!$E$2:$E$554,"yes")+COUNTIFS(Plan!$N$2:$N$554,$A48,Plan!$Q$2:$Q$554,"Map unique",Plan!$E$2:$E$554,"yes")+COUNTIFS(Plan!$N$2:$N$554,$A48,Plan!$Q$2:$Q$554,"Biome fodder",Plan!$E$2:$E$554,"yes")+COUNTIFS(Plan!$N$2:$N$554,$A48,Plan!$Q$2:$Q$554,"Mystery pack",Plan!$E$2:$E$554,"yes")</f>
        <v/>
      </c>
      <c r="D48" s="69">
        <f>COUNTIFS(Plan!$N$2:$N$554,$A48,Plan!$Q$2:$Q$554,"Faction")</f>
        <v/>
      </c>
      <c r="E48" s="69">
        <f>COUNTIFS(Plan!$N$2:$N$554,$A48,Plan!$Q$2:$Q$554,"Later world")</f>
        <v/>
      </c>
      <c r="F48" s="69">
        <f>IF(B48&lt;3,"Below 3",IF(B48&gt;6,"Above 6","OK (3–6)"))</f>
        <v/>
      </c>
    </row>
    <row r="49" ht="15" customHeight="1" s="39">
      <c r="A49" s="69" t="inlineStr">
        <is>
          <t>Shark &amp; Ray</t>
        </is>
      </c>
      <c r="B49" s="69">
        <f>COUNTIFS(Plan!$N$2:$N$554,$A49,Plan!$Q$2:$Q$554,"Base")+COUNTIFS(Plan!$N$2:$N$554,$A49,Plan!$Q$2:$Q$554,"Tutorial")+COUNTIFS(Plan!$N$2:$N$554,$A49,Plan!$Q$2:$Q$554,"Map unique")+COUNTIFS(Plan!$N$2:$N$554,$A49,Plan!$Q$2:$Q$554,"Biome fodder")+COUNTIFS(Plan!$N$2:$N$554,$A49,Plan!$Q$2:$Q$554,"Mystery pack")</f>
        <v/>
      </c>
      <c r="C49" s="69">
        <f>COUNTIFS(Plan!$N$2:$N$554,$A49,Plan!$Q$2:$Q$554,"Base",Plan!$E$2:$E$554,"yes")+COUNTIFS(Plan!$N$2:$N$554,$A49,Plan!$Q$2:$Q$554,"Tutorial",Plan!$E$2:$E$554,"yes")+COUNTIFS(Plan!$N$2:$N$554,$A49,Plan!$Q$2:$Q$554,"Map unique",Plan!$E$2:$E$554,"yes")+COUNTIFS(Plan!$N$2:$N$554,$A49,Plan!$Q$2:$Q$554,"Biome fodder",Plan!$E$2:$E$554,"yes")+COUNTIFS(Plan!$N$2:$N$554,$A49,Plan!$Q$2:$Q$554,"Mystery pack",Plan!$E$2:$E$554,"yes")</f>
        <v/>
      </c>
      <c r="D49" s="69">
        <f>COUNTIFS(Plan!$N$2:$N$554,$A49,Plan!$Q$2:$Q$554,"Faction")</f>
        <v/>
      </c>
      <c r="E49" s="69">
        <f>COUNTIFS(Plan!$N$2:$N$554,$A49,Plan!$Q$2:$Q$554,"Later world")</f>
        <v/>
      </c>
      <c r="F49" s="69">
        <f>IF(B49&lt;3,"Below 3",IF(B49&gt;6,"Above 6","OK (3–6)"))</f>
        <v/>
      </c>
    </row>
    <row r="50" ht="15" customHeight="1" s="39">
      <c r="A50" s="69" t="inlineStr">
        <is>
          <t>Sloth &amp; Armadillo</t>
        </is>
      </c>
      <c r="B50" s="69">
        <f>COUNTIFS(Plan!$N$2:$N$554,$A50,Plan!$Q$2:$Q$554,"Base")+COUNTIFS(Plan!$N$2:$N$554,$A50,Plan!$Q$2:$Q$554,"Tutorial")+COUNTIFS(Plan!$N$2:$N$554,$A50,Plan!$Q$2:$Q$554,"Map unique")+COUNTIFS(Plan!$N$2:$N$554,$A50,Plan!$Q$2:$Q$554,"Biome fodder")+COUNTIFS(Plan!$N$2:$N$554,$A50,Plan!$Q$2:$Q$554,"Mystery pack")</f>
        <v/>
      </c>
      <c r="C50" s="69">
        <f>COUNTIFS(Plan!$N$2:$N$554,$A50,Plan!$Q$2:$Q$554,"Base",Plan!$E$2:$E$554,"yes")+COUNTIFS(Plan!$N$2:$N$554,$A50,Plan!$Q$2:$Q$554,"Tutorial",Plan!$E$2:$E$554,"yes")+COUNTIFS(Plan!$N$2:$N$554,$A50,Plan!$Q$2:$Q$554,"Map unique",Plan!$E$2:$E$554,"yes")+COUNTIFS(Plan!$N$2:$N$554,$A50,Plan!$Q$2:$Q$554,"Biome fodder",Plan!$E$2:$E$554,"yes")+COUNTIFS(Plan!$N$2:$N$554,$A50,Plan!$Q$2:$Q$554,"Mystery pack",Plan!$E$2:$E$554,"yes")</f>
        <v/>
      </c>
      <c r="D50" s="69">
        <f>COUNTIFS(Plan!$N$2:$N$554,$A50,Plan!$Q$2:$Q$554,"Faction")</f>
        <v/>
      </c>
      <c r="E50" s="69">
        <f>COUNTIFS(Plan!$N$2:$N$554,$A50,Plan!$Q$2:$Q$554,"Later world")</f>
        <v/>
      </c>
      <c r="F50" s="69">
        <f>IF(B50&lt;3,"Below 3",IF(B50&gt;6,"Above 6","OK (3–6)"))</f>
        <v/>
      </c>
    </row>
    <row r="51" ht="15" customHeight="1" s="39">
      <c r="A51" s="69" t="inlineStr">
        <is>
          <t>Snail &amp; Slug</t>
        </is>
      </c>
      <c r="B51" s="69">
        <f>COUNTIFS(Plan!$N$2:$N$554,$A51,Plan!$Q$2:$Q$554,"Base")+COUNTIFS(Plan!$N$2:$N$554,$A51,Plan!$Q$2:$Q$554,"Tutorial")+COUNTIFS(Plan!$N$2:$N$554,$A51,Plan!$Q$2:$Q$554,"Map unique")+COUNTIFS(Plan!$N$2:$N$554,$A51,Plan!$Q$2:$Q$554,"Biome fodder")+COUNTIFS(Plan!$N$2:$N$554,$A51,Plan!$Q$2:$Q$554,"Mystery pack")</f>
        <v/>
      </c>
      <c r="C51" s="69">
        <f>COUNTIFS(Plan!$N$2:$N$554,$A51,Plan!$Q$2:$Q$554,"Base",Plan!$E$2:$E$554,"yes")+COUNTIFS(Plan!$N$2:$N$554,$A51,Plan!$Q$2:$Q$554,"Tutorial",Plan!$E$2:$E$554,"yes")+COUNTIFS(Plan!$N$2:$N$554,$A51,Plan!$Q$2:$Q$554,"Map unique",Plan!$E$2:$E$554,"yes")+COUNTIFS(Plan!$N$2:$N$554,$A51,Plan!$Q$2:$Q$554,"Biome fodder",Plan!$E$2:$E$554,"yes")+COUNTIFS(Plan!$N$2:$N$554,$A51,Plan!$Q$2:$Q$554,"Mystery pack",Plan!$E$2:$E$554,"yes")</f>
        <v/>
      </c>
      <c r="D51" s="69">
        <f>COUNTIFS(Plan!$N$2:$N$554,$A51,Plan!$Q$2:$Q$554,"Faction")</f>
        <v/>
      </c>
      <c r="E51" s="69">
        <f>COUNTIFS(Plan!$N$2:$N$554,$A51,Plan!$Q$2:$Q$554,"Later world")</f>
        <v/>
      </c>
      <c r="F51" s="69">
        <f>IF(B51&lt;3,"Below 3",IF(B51&gt;6,"Above 6","OK (3–6)"))</f>
        <v/>
      </c>
    </row>
    <row r="52" ht="15" customHeight="1" s="39">
      <c r="A52" s="69" t="inlineStr">
        <is>
          <t>Snake</t>
        </is>
      </c>
      <c r="B52" s="69">
        <f>COUNTIFS(Plan!$N$2:$N$554,$A52,Plan!$Q$2:$Q$554,"Base")+COUNTIFS(Plan!$N$2:$N$554,$A52,Plan!$Q$2:$Q$554,"Tutorial")+COUNTIFS(Plan!$N$2:$N$554,$A52,Plan!$Q$2:$Q$554,"Map unique")+COUNTIFS(Plan!$N$2:$N$554,$A52,Plan!$Q$2:$Q$554,"Biome fodder")+COUNTIFS(Plan!$N$2:$N$554,$A52,Plan!$Q$2:$Q$554,"Mystery pack")</f>
        <v/>
      </c>
      <c r="C52" s="69">
        <f>COUNTIFS(Plan!$N$2:$N$554,$A52,Plan!$Q$2:$Q$554,"Base",Plan!$E$2:$E$554,"yes")+COUNTIFS(Plan!$N$2:$N$554,$A52,Plan!$Q$2:$Q$554,"Tutorial",Plan!$E$2:$E$554,"yes")+COUNTIFS(Plan!$N$2:$N$554,$A52,Plan!$Q$2:$Q$554,"Map unique",Plan!$E$2:$E$554,"yes")+COUNTIFS(Plan!$N$2:$N$554,$A52,Plan!$Q$2:$Q$554,"Biome fodder",Plan!$E$2:$E$554,"yes")+COUNTIFS(Plan!$N$2:$N$554,$A52,Plan!$Q$2:$Q$554,"Mystery pack",Plan!$E$2:$E$554,"yes")</f>
        <v/>
      </c>
      <c r="D52" s="69">
        <f>COUNTIFS(Plan!$N$2:$N$554,$A52,Plan!$Q$2:$Q$554,"Faction")</f>
        <v/>
      </c>
      <c r="E52" s="69">
        <f>COUNTIFS(Plan!$N$2:$N$554,$A52,Plan!$Q$2:$Q$554,"Later world")</f>
        <v/>
      </c>
      <c r="F52" s="69">
        <f>IF(B52&lt;3,"Below 3",IF(B52&gt;6,"Above 6","OK (3–6)"))</f>
        <v/>
      </c>
    </row>
    <row r="53" ht="15" customHeight="1" s="39">
      <c r="A53" s="69" t="inlineStr">
        <is>
          <t>Songbird</t>
        </is>
      </c>
      <c r="B53" s="69">
        <f>COUNTIFS(Plan!$N$2:$N$554,$A53,Plan!$Q$2:$Q$554,"Base")+COUNTIFS(Plan!$N$2:$N$554,$A53,Plan!$Q$2:$Q$554,"Tutorial")+COUNTIFS(Plan!$N$2:$N$554,$A53,Plan!$Q$2:$Q$554,"Map unique")+COUNTIFS(Plan!$N$2:$N$554,$A53,Plan!$Q$2:$Q$554,"Biome fodder")+COUNTIFS(Plan!$N$2:$N$554,$A53,Plan!$Q$2:$Q$554,"Mystery pack")</f>
        <v/>
      </c>
      <c r="C53" s="69">
        <f>COUNTIFS(Plan!$N$2:$N$554,$A53,Plan!$Q$2:$Q$554,"Base",Plan!$E$2:$E$554,"yes")+COUNTIFS(Plan!$N$2:$N$554,$A53,Plan!$Q$2:$Q$554,"Tutorial",Plan!$E$2:$E$554,"yes")+COUNTIFS(Plan!$N$2:$N$554,$A53,Plan!$Q$2:$Q$554,"Map unique",Plan!$E$2:$E$554,"yes")+COUNTIFS(Plan!$N$2:$N$554,$A53,Plan!$Q$2:$Q$554,"Biome fodder",Plan!$E$2:$E$554,"yes")+COUNTIFS(Plan!$N$2:$N$554,$A53,Plan!$Q$2:$Q$554,"Mystery pack",Plan!$E$2:$E$554,"yes")</f>
        <v/>
      </c>
      <c r="D53" s="69">
        <f>COUNTIFS(Plan!$N$2:$N$554,$A53,Plan!$Q$2:$Q$554,"Faction")</f>
        <v/>
      </c>
      <c r="E53" s="69">
        <f>COUNTIFS(Plan!$N$2:$N$554,$A53,Plan!$Q$2:$Q$554,"Later world")</f>
        <v/>
      </c>
      <c r="F53" s="69">
        <f>IF(B53&lt;3,"Below 3",IF(B53&gt;6,"Above 6","OK (3–6)"))</f>
        <v/>
      </c>
    </row>
    <row r="54" ht="15" customHeight="1" s="39">
      <c r="A54" s="69" t="inlineStr">
        <is>
          <t>Spider &amp; Scorpion</t>
        </is>
      </c>
      <c r="B54" s="69">
        <f>COUNTIFS(Plan!$N$2:$N$554,$A54,Plan!$Q$2:$Q$554,"Base")+COUNTIFS(Plan!$N$2:$N$554,$A54,Plan!$Q$2:$Q$554,"Tutorial")+COUNTIFS(Plan!$N$2:$N$554,$A54,Plan!$Q$2:$Q$554,"Map unique")+COUNTIFS(Plan!$N$2:$N$554,$A54,Plan!$Q$2:$Q$554,"Biome fodder")+COUNTIFS(Plan!$N$2:$N$554,$A54,Plan!$Q$2:$Q$554,"Mystery pack")</f>
        <v/>
      </c>
      <c r="C54" s="69">
        <f>COUNTIFS(Plan!$N$2:$N$554,$A54,Plan!$Q$2:$Q$554,"Base",Plan!$E$2:$E$554,"yes")+COUNTIFS(Plan!$N$2:$N$554,$A54,Plan!$Q$2:$Q$554,"Tutorial",Plan!$E$2:$E$554,"yes")+COUNTIFS(Plan!$N$2:$N$554,$A54,Plan!$Q$2:$Q$554,"Map unique",Plan!$E$2:$E$554,"yes")+COUNTIFS(Plan!$N$2:$N$554,$A54,Plan!$Q$2:$Q$554,"Biome fodder",Plan!$E$2:$E$554,"yes")+COUNTIFS(Plan!$N$2:$N$554,$A54,Plan!$Q$2:$Q$554,"Mystery pack",Plan!$E$2:$E$554,"yes")</f>
        <v/>
      </c>
      <c r="D54" s="69">
        <f>COUNTIFS(Plan!$N$2:$N$554,$A54,Plan!$Q$2:$Q$554,"Faction")</f>
        <v/>
      </c>
      <c r="E54" s="69">
        <f>COUNTIFS(Plan!$N$2:$N$554,$A54,Plan!$Q$2:$Q$554,"Later world")</f>
        <v/>
      </c>
      <c r="F54" s="69">
        <f>IF(B54&lt;3,"Below 3",IF(B54&gt;6,"Above 6","OK (3–6)"))</f>
        <v/>
      </c>
    </row>
    <row r="55" ht="15" customHeight="1" s="39">
      <c r="A55" s="69" t="inlineStr">
        <is>
          <t>Stoat &amp; Weasel</t>
        </is>
      </c>
      <c r="B55" s="69">
        <f>COUNTIFS(Plan!$N$2:$N$554,$A55,Plan!$Q$2:$Q$554,"Base")+COUNTIFS(Plan!$N$2:$N$554,$A55,Plan!$Q$2:$Q$554,"Tutorial")+COUNTIFS(Plan!$N$2:$N$554,$A55,Plan!$Q$2:$Q$554,"Map unique")+COUNTIFS(Plan!$N$2:$N$554,$A55,Plan!$Q$2:$Q$554,"Biome fodder")+COUNTIFS(Plan!$N$2:$N$554,$A55,Plan!$Q$2:$Q$554,"Mystery pack")</f>
        <v/>
      </c>
      <c r="C55" s="69">
        <f>COUNTIFS(Plan!$N$2:$N$554,$A55,Plan!$Q$2:$Q$554,"Base",Plan!$E$2:$E$554,"yes")+COUNTIFS(Plan!$N$2:$N$554,$A55,Plan!$Q$2:$Q$554,"Tutorial",Plan!$E$2:$E$554,"yes")+COUNTIFS(Plan!$N$2:$N$554,$A55,Plan!$Q$2:$Q$554,"Map unique",Plan!$E$2:$E$554,"yes")+COUNTIFS(Plan!$N$2:$N$554,$A55,Plan!$Q$2:$Q$554,"Biome fodder",Plan!$E$2:$E$554,"yes")+COUNTIFS(Plan!$N$2:$N$554,$A55,Plan!$Q$2:$Q$554,"Mystery pack",Plan!$E$2:$E$554,"yes")</f>
        <v/>
      </c>
      <c r="D55" s="69">
        <f>COUNTIFS(Plan!$N$2:$N$554,$A55,Plan!$Q$2:$Q$554,"Faction")</f>
        <v/>
      </c>
      <c r="E55" s="69">
        <f>COUNTIFS(Plan!$N$2:$N$554,$A55,Plan!$Q$2:$Q$554,"Later world")</f>
        <v/>
      </c>
      <c r="F55" s="69">
        <f>IF(B55&lt;3,"Below 3",IF(B55&gt;6,"Above 6","OK (3–6)"))</f>
        <v/>
      </c>
    </row>
    <row r="56" ht="15" customHeight="1" s="39">
      <c r="A56" s="69" t="inlineStr">
        <is>
          <t>Tree &amp; Plant</t>
        </is>
      </c>
      <c r="B56" s="69">
        <f>COUNTIFS(Plan!$N$2:$N$554,$A56,Plan!$Q$2:$Q$554,"Base")+COUNTIFS(Plan!$N$2:$N$554,$A56,Plan!$Q$2:$Q$554,"Tutorial")+COUNTIFS(Plan!$N$2:$N$554,$A56,Plan!$Q$2:$Q$554,"Map unique")+COUNTIFS(Plan!$N$2:$N$554,$A56,Plan!$Q$2:$Q$554,"Biome fodder")+COUNTIFS(Plan!$N$2:$N$554,$A56,Plan!$Q$2:$Q$554,"Mystery pack")</f>
        <v/>
      </c>
      <c r="C56" s="69">
        <f>COUNTIFS(Plan!$N$2:$N$554,$A56,Plan!$Q$2:$Q$554,"Base",Plan!$E$2:$E$554,"yes")+COUNTIFS(Plan!$N$2:$N$554,$A56,Plan!$Q$2:$Q$554,"Tutorial",Plan!$E$2:$E$554,"yes")+COUNTIFS(Plan!$N$2:$N$554,$A56,Plan!$Q$2:$Q$554,"Map unique",Plan!$E$2:$E$554,"yes")+COUNTIFS(Plan!$N$2:$N$554,$A56,Plan!$Q$2:$Q$554,"Biome fodder",Plan!$E$2:$E$554,"yes")+COUNTIFS(Plan!$N$2:$N$554,$A56,Plan!$Q$2:$Q$554,"Mystery pack",Plan!$E$2:$E$554,"yes")</f>
        <v/>
      </c>
      <c r="D56" s="69">
        <f>COUNTIFS(Plan!$N$2:$N$554,$A56,Plan!$Q$2:$Q$554,"Faction")</f>
        <v/>
      </c>
      <c r="E56" s="69">
        <f>COUNTIFS(Plan!$N$2:$N$554,$A56,Plan!$Q$2:$Q$554,"Later world")</f>
        <v/>
      </c>
      <c r="F56" s="69">
        <f>IF(B56&lt;3,"Below 3",IF(B56&gt;6,"Above 6","OK (3–6)"))</f>
        <v/>
      </c>
    </row>
    <row r="57" ht="15" customHeight="1" s="39">
      <c r="A57" s="69" t="inlineStr">
        <is>
          <t>Turtle</t>
        </is>
      </c>
      <c r="B57" s="69">
        <f>COUNTIFS(Plan!$N$2:$N$554,$A57,Plan!$Q$2:$Q$554,"Base")+COUNTIFS(Plan!$N$2:$N$554,$A57,Plan!$Q$2:$Q$554,"Tutorial")+COUNTIFS(Plan!$N$2:$N$554,$A57,Plan!$Q$2:$Q$554,"Map unique")+COUNTIFS(Plan!$N$2:$N$554,$A57,Plan!$Q$2:$Q$554,"Biome fodder")+COUNTIFS(Plan!$N$2:$N$554,$A57,Plan!$Q$2:$Q$554,"Mystery pack")</f>
        <v/>
      </c>
      <c r="C57" s="69">
        <f>COUNTIFS(Plan!$N$2:$N$554,$A57,Plan!$Q$2:$Q$554,"Base",Plan!$E$2:$E$554,"yes")+COUNTIFS(Plan!$N$2:$N$554,$A57,Plan!$Q$2:$Q$554,"Tutorial",Plan!$E$2:$E$554,"yes")+COUNTIFS(Plan!$N$2:$N$554,$A57,Plan!$Q$2:$Q$554,"Map unique",Plan!$E$2:$E$554,"yes")+COUNTIFS(Plan!$N$2:$N$554,$A57,Plan!$Q$2:$Q$554,"Biome fodder",Plan!$E$2:$E$554,"yes")+COUNTIFS(Plan!$N$2:$N$554,$A57,Plan!$Q$2:$Q$554,"Mystery pack",Plan!$E$2:$E$554,"yes")</f>
        <v/>
      </c>
      <c r="D57" s="69">
        <f>COUNTIFS(Plan!$N$2:$N$554,$A57,Plan!$Q$2:$Q$554,"Faction")</f>
        <v/>
      </c>
      <c r="E57" s="69">
        <f>COUNTIFS(Plan!$N$2:$N$554,$A57,Plan!$Q$2:$Q$554,"Later world")</f>
        <v/>
      </c>
      <c r="F57" s="69">
        <f>IF(B57&lt;3,"Below 3",IF(B57&gt;6,"Above 6","OK (3–6)"))</f>
        <v/>
      </c>
    </row>
    <row r="58" ht="15" customHeight="1" s="39">
      <c r="A58" s="69" t="inlineStr">
        <is>
          <t>Waterbird</t>
        </is>
      </c>
      <c r="B58" s="69">
        <f>COUNTIFS(Plan!$N$2:$N$554,$A58,Plan!$Q$2:$Q$554,"Base")+COUNTIFS(Plan!$N$2:$N$554,$A58,Plan!$Q$2:$Q$554,"Tutorial")+COUNTIFS(Plan!$N$2:$N$554,$A58,Plan!$Q$2:$Q$554,"Map unique")+COUNTIFS(Plan!$N$2:$N$554,$A58,Plan!$Q$2:$Q$554,"Biome fodder")+COUNTIFS(Plan!$N$2:$N$554,$A58,Plan!$Q$2:$Q$554,"Mystery pack")</f>
        <v/>
      </c>
      <c r="C58" s="69">
        <f>COUNTIFS(Plan!$N$2:$N$554,$A58,Plan!$Q$2:$Q$554,"Base",Plan!$E$2:$E$554,"yes")+COUNTIFS(Plan!$N$2:$N$554,$A58,Plan!$Q$2:$Q$554,"Tutorial",Plan!$E$2:$E$554,"yes")+COUNTIFS(Plan!$N$2:$N$554,$A58,Plan!$Q$2:$Q$554,"Map unique",Plan!$E$2:$E$554,"yes")+COUNTIFS(Plan!$N$2:$N$554,$A58,Plan!$Q$2:$Q$554,"Biome fodder",Plan!$E$2:$E$554,"yes")+COUNTIFS(Plan!$N$2:$N$554,$A58,Plan!$Q$2:$Q$554,"Mystery pack",Plan!$E$2:$E$554,"yes")</f>
        <v/>
      </c>
      <c r="D58" s="69">
        <f>COUNTIFS(Plan!$N$2:$N$554,$A58,Plan!$Q$2:$Q$554,"Faction")</f>
        <v/>
      </c>
      <c r="E58" s="69">
        <f>COUNTIFS(Plan!$N$2:$N$554,$A58,Plan!$Q$2:$Q$554,"Later world")</f>
        <v/>
      </c>
      <c r="F58" s="69">
        <f>IF(B58&lt;3,"Below 3",IF(B58&gt;6,"Above 6","OK (3–6)"))</f>
        <v/>
      </c>
    </row>
    <row r="59" ht="15" customHeight="1" s="39">
      <c r="A59" s="69" t="inlineStr">
        <is>
          <t>Whale &amp; Seal</t>
        </is>
      </c>
      <c r="B59" s="69">
        <f>COUNTIFS(Plan!$N$2:$N$554,$A59,Plan!$Q$2:$Q$554,"Base")+COUNTIFS(Plan!$N$2:$N$554,$A59,Plan!$Q$2:$Q$554,"Tutorial")+COUNTIFS(Plan!$N$2:$N$554,$A59,Plan!$Q$2:$Q$554,"Map unique")+COUNTIFS(Plan!$N$2:$N$554,$A59,Plan!$Q$2:$Q$554,"Biome fodder")+COUNTIFS(Plan!$N$2:$N$554,$A59,Plan!$Q$2:$Q$554,"Mystery pack")</f>
        <v/>
      </c>
      <c r="C59" s="69">
        <f>COUNTIFS(Plan!$N$2:$N$554,$A59,Plan!$Q$2:$Q$554,"Base",Plan!$E$2:$E$554,"yes")+COUNTIFS(Plan!$N$2:$N$554,$A59,Plan!$Q$2:$Q$554,"Tutorial",Plan!$E$2:$E$554,"yes")+COUNTIFS(Plan!$N$2:$N$554,$A59,Plan!$Q$2:$Q$554,"Map unique",Plan!$E$2:$E$554,"yes")+COUNTIFS(Plan!$N$2:$N$554,$A59,Plan!$Q$2:$Q$554,"Biome fodder",Plan!$E$2:$E$554,"yes")+COUNTIFS(Plan!$N$2:$N$554,$A59,Plan!$Q$2:$Q$554,"Mystery pack",Plan!$E$2:$E$554,"yes")</f>
        <v/>
      </c>
      <c r="D59" s="69">
        <f>COUNTIFS(Plan!$N$2:$N$554,$A59,Plan!$Q$2:$Q$554,"Faction")</f>
        <v/>
      </c>
      <c r="E59" s="69">
        <f>COUNTIFS(Plan!$N$2:$N$554,$A59,Plan!$Q$2:$Q$554,"Later world")</f>
        <v/>
      </c>
      <c r="F59" s="69">
        <f>IF(B59&lt;3,"Below 3",IF(B59&gt;6,"Above 6","OK (3–6)"))</f>
        <v/>
      </c>
    </row>
    <row r="60" ht="15" customHeight="1" s="39">
      <c r="A60" s="69" t="inlineStr">
        <is>
          <t>Wolf</t>
        </is>
      </c>
      <c r="B60" s="69">
        <f>COUNTIFS(Plan!$N$2:$N$554,$A60,Plan!$Q$2:$Q$554,"Base")+COUNTIFS(Plan!$N$2:$N$554,$A60,Plan!$Q$2:$Q$554,"Tutorial")+COUNTIFS(Plan!$N$2:$N$554,$A60,Plan!$Q$2:$Q$554,"Map unique")+COUNTIFS(Plan!$N$2:$N$554,$A60,Plan!$Q$2:$Q$554,"Biome fodder")+COUNTIFS(Plan!$N$2:$N$554,$A60,Plan!$Q$2:$Q$554,"Mystery pack")</f>
        <v/>
      </c>
      <c r="C60" s="69">
        <f>COUNTIFS(Plan!$N$2:$N$554,$A60,Plan!$Q$2:$Q$554,"Base",Plan!$E$2:$E$554,"yes")+COUNTIFS(Plan!$N$2:$N$554,$A60,Plan!$Q$2:$Q$554,"Tutorial",Plan!$E$2:$E$554,"yes")+COUNTIFS(Plan!$N$2:$N$554,$A60,Plan!$Q$2:$Q$554,"Map unique",Plan!$E$2:$E$554,"yes")+COUNTIFS(Plan!$N$2:$N$554,$A60,Plan!$Q$2:$Q$554,"Biome fodder",Plan!$E$2:$E$554,"yes")+COUNTIFS(Plan!$N$2:$N$554,$A60,Plan!$Q$2:$Q$554,"Mystery pack",Plan!$E$2:$E$554,"yes")</f>
        <v/>
      </c>
      <c r="D60" s="69">
        <f>COUNTIFS(Plan!$N$2:$N$554,$A60,Plan!$Q$2:$Q$554,"Faction")</f>
        <v/>
      </c>
      <c r="E60" s="69">
        <f>COUNTIFS(Plan!$N$2:$N$554,$A60,Plan!$Q$2:$Q$554,"Later world")</f>
        <v/>
      </c>
      <c r="F60" s="69">
        <f>IF(B60&lt;3,"Below 3",IF(B60&gt;6,"Above 6","OK (3–6)"))</f>
        <v/>
      </c>
    </row>
    <row r="61" ht="15" customHeight="1" s="39">
      <c r="A61" s="69" t="inlineStr">
        <is>
          <t>Worm &amp; Leech</t>
        </is>
      </c>
      <c r="B61" s="69">
        <f>COUNTIFS(Plan!$N$2:$N$554,$A61,Plan!$Q$2:$Q$554,"Base")+COUNTIFS(Plan!$N$2:$N$554,$A61,Plan!$Q$2:$Q$554,"Tutorial")+COUNTIFS(Plan!$N$2:$N$554,$A61,Plan!$Q$2:$Q$554,"Map unique")+COUNTIFS(Plan!$N$2:$N$554,$A61,Plan!$Q$2:$Q$554,"Biome fodder")+COUNTIFS(Plan!$N$2:$N$554,$A61,Plan!$Q$2:$Q$554,"Mystery pack")</f>
        <v/>
      </c>
      <c r="C61" s="69">
        <f>COUNTIFS(Plan!$N$2:$N$554,$A61,Plan!$Q$2:$Q$554,"Base",Plan!$E$2:$E$554,"yes")+COUNTIFS(Plan!$N$2:$N$554,$A61,Plan!$Q$2:$Q$554,"Tutorial",Plan!$E$2:$E$554,"yes")+COUNTIFS(Plan!$N$2:$N$554,$A61,Plan!$Q$2:$Q$554,"Map unique",Plan!$E$2:$E$554,"yes")+COUNTIFS(Plan!$N$2:$N$554,$A61,Plan!$Q$2:$Q$554,"Biome fodder",Plan!$E$2:$E$554,"yes")+COUNTIFS(Plan!$N$2:$N$554,$A61,Plan!$Q$2:$Q$554,"Mystery pack",Plan!$E$2:$E$554,"yes")</f>
        <v/>
      </c>
      <c r="D61" s="69">
        <f>COUNTIFS(Plan!$N$2:$N$554,$A61,Plan!$Q$2:$Q$554,"Faction")</f>
        <v/>
      </c>
      <c r="E61" s="69">
        <f>COUNTIFS(Plan!$N$2:$N$554,$A61,Plan!$Q$2:$Q$554,"Later world")</f>
        <v/>
      </c>
      <c r="F61" s="69">
        <f>IF(B61&lt;3,"Below 3",IF(B61&gt;6,"Above 6","OK (3–6)"))</f>
        <v/>
      </c>
    </row>
    <row r="62" ht="15" customHeight="1" s="39">
      <c r="A62" s="70" t="inlineStr">
        <is>
          <t>Types below 3</t>
        </is>
      </c>
      <c r="B62" s="70">
        <f>COUNTIF(F5:F61,"Below 3")</f>
        <v/>
      </c>
    </row>
    <row r="63" ht="15" customHeight="1" s="39">
      <c r="A63" s="70" t="inlineStr">
        <is>
          <t>Types above 6</t>
        </is>
      </c>
      <c r="B63" s="70">
        <f>COUNTIF(F5:F61,"Above 6")</f>
        <v/>
      </c>
    </row>
    <row r="65" ht="17.25" customHeight="1" s="39">
      <c r="A65" s="49" t="inlineStr">
        <is>
          <t>House rules</t>
        </is>
      </c>
    </row>
    <row r="66" ht="30" customHeight="1" s="39">
      <c r="A66" s="40" t="inlineStr">
        <is>
          <t>Check</t>
        </is>
      </c>
      <c r="B66" s="40" t="inlineStr">
        <is>
          <t>First world (with factions)</t>
        </is>
      </c>
      <c r="C66" s="40" t="inlineStr">
        <is>
          <t>Rule</t>
        </is>
      </c>
      <c r="D66" s="40" t="inlineStr">
        <is>
          <t>Result</t>
        </is>
      </c>
      <c r="E66" s="40" t="n"/>
      <c r="F66" s="40" t="n"/>
    </row>
    <row r="67" ht="15" customHeight="1" s="39">
      <c r="A67" s="69" t="inlineStr">
        <is>
          <t>Elementals (any card whose species includes Elemental)</t>
        </is>
      </c>
      <c r="B67" s="69">
        <f>COUNTIFS(Plan!$M$2:$M$554,"*Elemental*",Plan!$Q$2:$Q$554,"Base")+COUNTIFS(Plan!$M$2:$M$554,"*Elemental*",Plan!$Q$2:$Q$554,"Tutorial")+COUNTIFS(Plan!$M$2:$M$554,"*Elemental*",Plan!$Q$2:$Q$554,"Map unique")+COUNTIFS(Plan!$M$2:$M$554,"*Elemental*",Plan!$Q$2:$Q$554,"Biome fodder")+COUNTIFS(Plan!$M$2:$M$554,"*Elemental*",Plan!$Q$2:$Q$554,"Mystery pack")+COUNTIFS(Plan!$M$2:$M$554,"*Elemental*",Plan!$Q$2:$Q$554,"Faction")</f>
        <v/>
      </c>
      <c r="C67" s="69" t="inlineStr">
        <is>
          <t>fewer than 6</t>
        </is>
      </c>
      <c r="D67" s="70">
        <f>IF(B67&lt;6,"OK","Check")</f>
        <v/>
      </c>
    </row>
    <row r="68" ht="15" customHeight="1" s="39">
      <c r="A68" s="69" t="inlineStr">
        <is>
          <t>Trolls (a card named Troll)</t>
        </is>
      </c>
      <c r="B68" s="69">
        <f>COUNTIFS(Plan!$C$2:$C$554,"*Troll*",Plan!$Q$2:$Q$554,"Base")+COUNTIFS(Plan!$C$2:$C$554,"*Troll*",Plan!$Q$2:$Q$554,"Tutorial")+COUNTIFS(Plan!$C$2:$C$554,"*Troll*",Plan!$Q$2:$Q$554,"Map unique")+COUNTIFS(Plan!$C$2:$C$554,"*Troll*",Plan!$Q$2:$Q$554,"Biome fodder")+COUNTIFS(Plan!$C$2:$C$554,"*Troll*",Plan!$Q$2:$Q$554,"Mystery pack")+COUNTIFS(Plan!$C$2:$C$554,"*Troll*",Plan!$Q$2:$Q$554,"Faction")</f>
        <v/>
      </c>
      <c r="C68" s="69" t="inlineStr">
        <is>
          <t>none</t>
        </is>
      </c>
      <c r="D68" s="70">
        <f>IF(B68=0,"OK","Check")</f>
        <v/>
      </c>
    </row>
    <row r="69" ht="15" customHeight="1" s="39">
      <c r="A69" s="69" t="inlineStr">
        <is>
          <t>Changelings</t>
        </is>
      </c>
      <c r="B69" s="69">
        <f>COUNTIFS(Plan!$N$2:$N$554,"Changeling",Plan!$Q$2:$Q$554,"Base")+COUNTIFS(Plan!$N$2:$N$554,"Changeling",Plan!$Q$2:$Q$554,"Tutorial")+COUNTIFS(Plan!$N$2:$N$554,"Changeling",Plan!$Q$2:$Q$554,"Map unique")+COUNTIFS(Plan!$N$2:$N$554,"Changeling",Plan!$Q$2:$Q$554,"Biome fodder")+COUNTIFS(Plan!$N$2:$N$554,"Changeling",Plan!$Q$2:$Q$554,"Mystery pack")+COUNTIFS(Plan!$N$2:$N$554,"Changeling",Plan!$Q$2:$Q$554,"Faction")</f>
        <v/>
      </c>
      <c r="C69" s="69" t="inlineStr">
        <is>
          <t>exactly 1</t>
        </is>
      </c>
      <c r="D69" s="70">
        <f>IF(B69=1,"OK","Check")</f>
        <v/>
      </c>
    </row>
    <row r="70" ht="54" customHeight="1" s="39">
      <c r="A70" s="71" t="inlineStr">
        <is>
          <t>Elementals kept: Stalactite Golem (Map 8), Magma Salamander (Map 19), Ember Wisp (Map 20), and the Tutorial's Straw Training Dummy (a straw target whose data says Elemental). Every other Elemental waits in Later worlds. "Cave Bear" keeps the old id deep-cave-troll but is a bear, not a troll; it waits in Later worlds as a spare bear.</t>
        </is>
      </c>
    </row>
  </sheetData>
  <mergeCells count="1">
    <mergeCell ref="A70:F7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17"/>
  <sheetViews>
    <sheetView showFormulas="0" showGridLines="1" showRowColHeaders="1" showZeros="1" rightToLeft="0" tabSelected="0" showOutlineSymbols="1" defaultGridColor="1"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8" min="1" max="1"/>
    <col width="40" customWidth="1" style="38" min="2" max="2"/>
    <col width="26" customWidth="1" style="38" min="3" max="4"/>
    <col width="12" customWidth="1" style="38" min="5" max="5"/>
    <col width="30" customWidth="1" style="38" min="6" max="6"/>
    <col width="20" customWidth="1" style="38" min="7" max="7"/>
  </cols>
  <sheetData>
    <row r="1" ht="17.25" customHeight="1" s="39">
      <c r="A1" s="49" t="inlineStr">
        <is>
          <t>Packs: what the Card Pack seller and the Mystery pack hold</t>
        </is>
      </c>
    </row>
    <row r="2" ht="51.75" customHeight="1" s="39">
      <c r="A2" s="71" t="inlineStr">
        <is>
          <t>The Card Pack seller sets up three times, at Map 5, Map 11 and Map 17. Each visit sells the cards you have met on the maps since the last one (boss leaders stay as boss rewards). Maps 18–21 and the Volcano fodder are not in a pack: they stay map rewards. The Mystery pack lies in Map 20's side map (Eye of the Volcano) and holds the oddities.</t>
        </is>
      </c>
    </row>
    <row r="4" ht="30" customHeight="1" s="39">
      <c r="A4" s="40" t="inlineStr">
        <is>
          <t>Pack</t>
        </is>
      </c>
      <c r="B4" s="40" t="inlineStr">
        <is>
          <t>Where</t>
        </is>
      </c>
      <c r="C4" s="40" t="inlineStr">
        <is>
          <t>Cards in it</t>
        </is>
      </c>
    </row>
    <row r="5" ht="15" customHeight="1" s="39">
      <c r="A5" s="70" t="inlineStr">
        <is>
          <t>Card Pack I</t>
        </is>
      </c>
      <c r="B5" s="69" t="inlineStr">
        <is>
          <t>Map 5 (Gatorback Swamp)</t>
        </is>
      </c>
      <c r="C5" s="69">
        <f>COUNTIF($A$12:$A$118,A5)</f>
        <v/>
      </c>
    </row>
    <row r="6" ht="15" customHeight="1" s="39">
      <c r="A6" s="70" t="inlineStr">
        <is>
          <t>Card Pack II</t>
        </is>
      </c>
      <c r="B6" s="69" t="inlineStr">
        <is>
          <t>Map 11 (Eyrie Heights)</t>
        </is>
      </c>
      <c r="C6" s="69">
        <f>COUNTIF($A$12:$A$118,A6)</f>
        <v/>
      </c>
    </row>
    <row r="7" ht="15" customHeight="1" s="39">
      <c r="A7" s="70" t="inlineStr">
        <is>
          <t>Card Pack III</t>
        </is>
      </c>
      <c r="B7" s="69" t="inlineStr">
        <is>
          <t>Map 17 (Wolfsbane Tundra)</t>
        </is>
      </c>
      <c r="C7" s="69">
        <f>COUNTIF($A$12:$A$118,A7)</f>
        <v/>
      </c>
    </row>
    <row r="8" ht="15" customHeight="1" s="39">
      <c r="A8" s="70" t="inlineStr">
        <is>
          <t>Mystery pack</t>
        </is>
      </c>
      <c r="B8" s="69" t="inlineStr">
        <is>
          <t>Map 20 side map: Eye of the Volcano</t>
        </is>
      </c>
      <c r="C8" s="69">
        <f>COUNTIF($A$12:$A$118,A8)</f>
        <v/>
      </c>
    </row>
    <row r="11" ht="30" customHeight="1" s="39">
      <c r="A11" s="40" t="inlineStr">
        <is>
          <t>Pack</t>
        </is>
      </c>
      <c r="B11" s="40" t="inlineStr">
        <is>
          <t>Where</t>
        </is>
      </c>
      <c r="C11" s="40" t="inlineStr">
        <is>
          <t>Card</t>
        </is>
      </c>
      <c r="D11" s="40" t="inlineStr">
        <is>
          <t>ID</t>
        </is>
      </c>
      <c r="E11" s="40" t="inlineStr">
        <is>
          <t>Rarity</t>
        </is>
      </c>
      <c r="F11" s="40" t="inlineStr">
        <is>
          <t>Comes from</t>
        </is>
      </c>
      <c r="G11" s="40" t="inlineStr">
        <is>
          <t>Animal type</t>
        </is>
      </c>
    </row>
    <row r="12" ht="15" customHeight="1" s="39">
      <c r="A12" s="69" t="inlineStr">
        <is>
          <t>Card Pack I</t>
        </is>
      </c>
      <c r="B12" s="69" t="inlineStr">
        <is>
          <t>Map 5 (Gatorback Swamp)</t>
        </is>
      </c>
      <c r="C12" s="69" t="inlineStr">
        <is>
          <t>Earthworm</t>
        </is>
      </c>
      <c r="D12" s="69" t="inlineStr">
        <is>
          <t>earthworm</t>
        </is>
      </c>
      <c r="E12" s="69" t="inlineStr">
        <is>
          <t>Starter</t>
        </is>
      </c>
      <c r="F12" s="69" t="inlineStr">
        <is>
          <t>Map 0</t>
        </is>
      </c>
      <c r="G12" s="69" t="inlineStr">
        <is>
          <t>Worm &amp; Leech</t>
        </is>
      </c>
    </row>
    <row r="13" ht="15" customHeight="1" s="39">
      <c r="A13" s="69" t="inlineStr">
        <is>
          <t>Card Pack I</t>
        </is>
      </c>
      <c r="B13" s="69" t="inlineStr">
        <is>
          <t>Map 5 (Gatorback Swamp)</t>
        </is>
      </c>
      <c r="C13" s="69" t="inlineStr">
        <is>
          <t>Soldier Ant</t>
        </is>
      </c>
      <c r="D13" s="69" t="inlineStr">
        <is>
          <t>soldier-ant</t>
        </is>
      </c>
      <c r="E13" s="69" t="inlineStr">
        <is>
          <t>Uncommon</t>
        </is>
      </c>
      <c r="F13" s="69" t="inlineStr">
        <is>
          <t>Map 0</t>
        </is>
      </c>
      <c r="G13" s="69" t="inlineStr">
        <is>
          <t>Ant &amp; Termite</t>
        </is>
      </c>
    </row>
    <row r="14" ht="15" customHeight="1" s="39">
      <c r="A14" s="69" t="inlineStr">
        <is>
          <t>Card Pack I</t>
        </is>
      </c>
      <c r="B14" s="69" t="inlineStr">
        <is>
          <t>Map 5 (Gatorback Swamp)</t>
        </is>
      </c>
      <c r="C14" s="69" t="inlineStr">
        <is>
          <t>Pigeon Peon</t>
        </is>
      </c>
      <c r="D14" s="69" t="inlineStr">
        <is>
          <t>pigeon-peon</t>
        </is>
      </c>
      <c r="E14" s="69" t="inlineStr">
        <is>
          <t>Common</t>
        </is>
      </c>
      <c r="F14" s="69" t="inlineStr">
        <is>
          <t>Map 0</t>
        </is>
      </c>
      <c r="G14" s="69" t="inlineStr">
        <is>
          <t>Songbird</t>
        </is>
      </c>
    </row>
    <row r="15" ht="15" customHeight="1" s="39">
      <c r="A15" s="69" t="inlineStr">
        <is>
          <t>Card Pack I</t>
        </is>
      </c>
      <c r="B15" s="69" t="inlineStr">
        <is>
          <t>Map 5 (Gatorback Swamp)</t>
        </is>
      </c>
      <c r="C15" s="69" t="inlineStr">
        <is>
          <t>Bramble Hoglet</t>
        </is>
      </c>
      <c r="D15" s="69" t="inlineStr">
        <is>
          <t>bramble-hoglet</t>
        </is>
      </c>
      <c r="E15" s="69" t="inlineStr">
        <is>
          <t>Common</t>
        </is>
      </c>
      <c r="F15" s="69" t="inlineStr">
        <is>
          <t>Map 0</t>
        </is>
      </c>
      <c r="G15" s="69" t="inlineStr">
        <is>
          <t>Hedgehog</t>
        </is>
      </c>
    </row>
    <row r="16" ht="15" customHeight="1" s="39">
      <c r="A16" s="69" t="inlineStr">
        <is>
          <t>Card Pack I</t>
        </is>
      </c>
      <c r="B16" s="69" t="inlineStr">
        <is>
          <t>Map 5 (Gatorback Swamp)</t>
        </is>
      </c>
      <c r="C16" s="69" t="inlineStr">
        <is>
          <t>Hedgehog Scout</t>
        </is>
      </c>
      <c r="D16" s="69" t="inlineStr">
        <is>
          <t>hedgehog-scout</t>
        </is>
      </c>
      <c r="E16" s="69" t="inlineStr">
        <is>
          <t>Common</t>
        </is>
      </c>
      <c r="F16" s="69" t="inlineStr">
        <is>
          <t>Map 1</t>
        </is>
      </c>
      <c r="G16" s="69" t="inlineStr">
        <is>
          <t>Hedgehog</t>
        </is>
      </c>
    </row>
    <row r="17" ht="15" customHeight="1" s="39">
      <c r="A17" s="69" t="inlineStr">
        <is>
          <t>Card Pack I</t>
        </is>
      </c>
      <c r="B17" s="69" t="inlineStr">
        <is>
          <t>Map 5 (Gatorback Swamp)</t>
        </is>
      </c>
      <c r="C17" s="69" t="inlineStr">
        <is>
          <t>Lucky Hopper</t>
        </is>
      </c>
      <c r="D17" s="69" t="inlineStr">
        <is>
          <t>lucky-hopper</t>
        </is>
      </c>
      <c r="E17" s="69" t="inlineStr">
        <is>
          <t>Rare</t>
        </is>
      </c>
      <c r="F17" s="69" t="inlineStr">
        <is>
          <t>Map 1</t>
        </is>
      </c>
      <c r="G17" s="69" t="inlineStr">
        <is>
          <t>Rabbit &amp; Hare</t>
        </is>
      </c>
    </row>
    <row r="18" ht="15" customHeight="1" s="39">
      <c r="A18" s="69" t="inlineStr">
        <is>
          <t>Card Pack I</t>
        </is>
      </c>
      <c r="B18" s="69" t="inlineStr">
        <is>
          <t>Map 5 (Gatorback Swamp)</t>
        </is>
      </c>
      <c r="C18" s="69" t="inlineStr">
        <is>
          <t>Clover Butterfly</t>
        </is>
      </c>
      <c r="D18" s="69" t="inlineStr">
        <is>
          <t>clover-butterfly</t>
        </is>
      </c>
      <c r="E18" s="69" t="inlineStr">
        <is>
          <t>Common</t>
        </is>
      </c>
      <c r="F18" s="69" t="inlineStr">
        <is>
          <t>Map 1</t>
        </is>
      </c>
      <c r="G18" s="69" t="inlineStr">
        <is>
          <t>Moth &amp; Butterfly</t>
        </is>
      </c>
    </row>
    <row r="19" ht="15" customHeight="1" s="39">
      <c r="A19" s="69" t="inlineStr">
        <is>
          <t>Card Pack I</t>
        </is>
      </c>
      <c r="B19" s="69" t="inlineStr">
        <is>
          <t>Map 5 (Gatorback Swamp)</t>
        </is>
      </c>
      <c r="C19" s="69" t="inlineStr">
        <is>
          <t>Tide Pool Crab</t>
        </is>
      </c>
      <c r="D19" s="69" t="inlineStr">
        <is>
          <t>tide-pool-crab</t>
        </is>
      </c>
      <c r="E19" s="69" t="inlineStr">
        <is>
          <t>Common</t>
        </is>
      </c>
      <c r="F19" s="69" t="inlineStr">
        <is>
          <t>Map 2</t>
        </is>
      </c>
      <c r="G19" s="69" t="inlineStr">
        <is>
          <t>Crab &amp; Shrimp</t>
        </is>
      </c>
    </row>
    <row r="20" ht="15" customHeight="1" s="39">
      <c r="A20" s="69" t="inlineStr">
        <is>
          <t>Card Pack I</t>
        </is>
      </c>
      <c r="B20" s="69" t="inlineStr">
        <is>
          <t>Map 5 (Gatorback Swamp)</t>
        </is>
      </c>
      <c r="C20" s="69" t="inlineStr">
        <is>
          <t>Snapper Hatchling</t>
        </is>
      </c>
      <c r="D20" s="69" t="inlineStr">
        <is>
          <t>snapper-hatchling</t>
        </is>
      </c>
      <c r="E20" s="69" t="inlineStr">
        <is>
          <t>Common</t>
        </is>
      </c>
      <c r="F20" s="69" t="inlineStr">
        <is>
          <t>Map 2</t>
        </is>
      </c>
      <c r="G20" s="69" t="inlineStr">
        <is>
          <t>Turtle</t>
        </is>
      </c>
    </row>
    <row r="21" ht="15" customHeight="1" s="39">
      <c r="A21" s="69" t="inlineStr">
        <is>
          <t>Card Pack I</t>
        </is>
      </c>
      <c r="B21" s="69" t="inlineStr">
        <is>
          <t>Map 5 (Gatorback Swamp)</t>
        </is>
      </c>
      <c r="C21" s="69" t="inlineStr">
        <is>
          <t>Pond Paddler</t>
        </is>
      </c>
      <c r="D21" s="69" t="inlineStr">
        <is>
          <t>pond-paddler</t>
        </is>
      </c>
      <c r="E21" s="69" t="inlineStr">
        <is>
          <t>Rare</t>
        </is>
      </c>
      <c r="F21" s="69" t="inlineStr">
        <is>
          <t>Map 2</t>
        </is>
      </c>
      <c r="G21" s="69" t="inlineStr">
        <is>
          <t>Duck &amp; Goose</t>
        </is>
      </c>
    </row>
    <row r="22" ht="15" customHeight="1" s="39">
      <c r="A22" s="69" t="inlineStr">
        <is>
          <t>Card Pack I</t>
        </is>
      </c>
      <c r="B22" s="69" t="inlineStr">
        <is>
          <t>Map 5 (Gatorback Swamp)</t>
        </is>
      </c>
      <c r="C22" s="69" t="inlineStr">
        <is>
          <t>Hawk Arrowkeeper</t>
        </is>
      </c>
      <c r="D22" s="69" t="inlineStr">
        <is>
          <t>hawk-arrowkeeper</t>
        </is>
      </c>
      <c r="E22" s="69" t="inlineStr">
        <is>
          <t>Common</t>
        </is>
      </c>
      <c r="F22" s="69" t="inlineStr">
        <is>
          <t>Map 3</t>
        </is>
      </c>
      <c r="G22" s="69" t="inlineStr">
        <is>
          <t>Eagle &amp; Hawk</t>
        </is>
      </c>
    </row>
    <row r="23" ht="15" customHeight="1" s="39">
      <c r="A23" s="69" t="inlineStr">
        <is>
          <t>Card Pack I</t>
        </is>
      </c>
      <c r="B23" s="69" t="inlineStr">
        <is>
          <t>Map 5 (Gatorback Swamp)</t>
        </is>
      </c>
      <c r="C23" s="69" t="inlineStr">
        <is>
          <t>Eagle Sharpshooter</t>
        </is>
      </c>
      <c r="D23" s="69" t="inlineStr">
        <is>
          <t>eagle-sharpshooter</t>
        </is>
      </c>
      <c r="E23" s="69" t="inlineStr">
        <is>
          <t>Common</t>
        </is>
      </c>
      <c r="F23" s="69" t="inlineStr">
        <is>
          <t>Map 3</t>
        </is>
      </c>
      <c r="G23" s="69" t="inlineStr">
        <is>
          <t>Eagle &amp; Hawk</t>
        </is>
      </c>
    </row>
    <row r="24" ht="15" customHeight="1" s="39">
      <c r="A24" s="69" t="inlineStr">
        <is>
          <t>Card Pack I</t>
        </is>
      </c>
      <c r="B24" s="69" t="inlineStr">
        <is>
          <t>Map 5 (Gatorback Swamp)</t>
        </is>
      </c>
      <c r="C24" s="69" t="inlineStr">
        <is>
          <t>Mountain Goat Climber</t>
        </is>
      </c>
      <c r="D24" s="69" t="inlineStr">
        <is>
          <t>mountain-goat-climber</t>
        </is>
      </c>
      <c r="E24" s="69" t="inlineStr">
        <is>
          <t>Rare</t>
        </is>
      </c>
      <c r="F24" s="69" t="inlineStr">
        <is>
          <t>Map 3</t>
        </is>
      </c>
      <c r="G24" s="69" t="inlineStr">
        <is>
          <t>Goat &amp; Ox</t>
        </is>
      </c>
    </row>
    <row r="25" ht="15" customHeight="1" s="39">
      <c r="A25" s="69" t="inlineStr">
        <is>
          <t>Card Pack I</t>
        </is>
      </c>
      <c r="B25" s="69" t="inlineStr">
        <is>
          <t>Map 5 (Gatorback Swamp)</t>
        </is>
      </c>
      <c r="C25" s="69" t="inlineStr">
        <is>
          <t>Moray Ambusher</t>
        </is>
      </c>
      <c r="D25" s="69" t="inlineStr">
        <is>
          <t>moray-ambusher</t>
        </is>
      </c>
      <c r="E25" s="69" t="inlineStr">
        <is>
          <t>Common</t>
        </is>
      </c>
      <c r="F25" s="69" t="inlineStr">
        <is>
          <t>Map 4</t>
        </is>
      </c>
      <c r="G25" s="69" t="inlineStr">
        <is>
          <t>Eel</t>
        </is>
      </c>
    </row>
    <row r="26" ht="15" customHeight="1" s="39">
      <c r="A26" s="69" t="inlineStr">
        <is>
          <t>Card Pack I</t>
        </is>
      </c>
      <c r="B26" s="69" t="inlineStr">
        <is>
          <t>Map 5 (Gatorback Swamp)</t>
        </is>
      </c>
      <c r="C26" s="69" t="inlineStr">
        <is>
          <t>Dolphin Knight</t>
        </is>
      </c>
      <c r="D26" s="69" t="inlineStr">
        <is>
          <t>dolphin-knight</t>
        </is>
      </c>
      <c r="E26" s="69" t="inlineStr">
        <is>
          <t>Rare</t>
        </is>
      </c>
      <c r="F26" s="69" t="inlineStr">
        <is>
          <t>Map 4</t>
        </is>
      </c>
      <c r="G26" s="69" t="inlineStr">
        <is>
          <t>Whale &amp; Seal</t>
        </is>
      </c>
    </row>
    <row r="27" ht="15" customHeight="1" s="39">
      <c r="A27" s="69" t="inlineStr">
        <is>
          <t>Card Pack I</t>
        </is>
      </c>
      <c r="B27" s="69" t="inlineStr">
        <is>
          <t>Map 5 (Gatorback Swamp)</t>
        </is>
      </c>
      <c r="C27" s="69" t="inlineStr">
        <is>
          <t>Cuttlefish Illusionist</t>
        </is>
      </c>
      <c r="D27" s="69" t="inlineStr">
        <is>
          <t>cuttlefish-illusionist</t>
        </is>
      </c>
      <c r="E27" s="69" t="inlineStr">
        <is>
          <t>Common</t>
        </is>
      </c>
      <c r="F27" s="69" t="inlineStr">
        <is>
          <t>Map 4</t>
        </is>
      </c>
      <c r="G27" s="69" t="inlineStr">
        <is>
          <t>Octopus &amp; Squid</t>
        </is>
      </c>
    </row>
    <row r="28" ht="15" customHeight="1" s="39">
      <c r="A28" s="69" t="inlineStr">
        <is>
          <t>Card Pack I</t>
        </is>
      </c>
      <c r="B28" s="69" t="inlineStr">
        <is>
          <t>Map 5 (Gatorback Swamp)</t>
        </is>
      </c>
      <c r="C28" s="69" t="inlineStr">
        <is>
          <t>Bog Leech</t>
        </is>
      </c>
      <c r="D28" s="69" t="inlineStr">
        <is>
          <t>bog-leech</t>
        </is>
      </c>
      <c r="E28" s="69" t="inlineStr">
        <is>
          <t>Rare</t>
        </is>
      </c>
      <c r="F28" s="69" t="inlineStr">
        <is>
          <t>Map 5</t>
        </is>
      </c>
      <c r="G28" s="69" t="inlineStr">
        <is>
          <t>Worm &amp; Leech</t>
        </is>
      </c>
    </row>
    <row r="29" ht="15" customHeight="1" s="39">
      <c r="A29" s="69" t="inlineStr">
        <is>
          <t>Card Pack I</t>
        </is>
      </c>
      <c r="B29" s="69" t="inlineStr">
        <is>
          <t>Map 5 (Gatorback Swamp)</t>
        </is>
      </c>
      <c r="C29" s="69" t="inlineStr">
        <is>
          <t>Rootworm Colony</t>
        </is>
      </c>
      <c r="D29" s="69" t="inlineStr">
        <is>
          <t>rootworm-colony</t>
        </is>
      </c>
      <c r="E29" s="69" t="inlineStr">
        <is>
          <t>Common</t>
        </is>
      </c>
      <c r="F29" s="69" t="inlineStr">
        <is>
          <t>Map 5</t>
        </is>
      </c>
      <c r="G29" s="69" t="inlineStr">
        <is>
          <t>Worm &amp; Leech</t>
        </is>
      </c>
    </row>
    <row r="30" ht="15" customHeight="1" s="39">
      <c r="A30" s="69" t="inlineStr">
        <is>
          <t>Card Pack I</t>
        </is>
      </c>
      <c r="B30" s="69" t="inlineStr">
        <is>
          <t>Map 5 (Gatorback Swamp)</t>
        </is>
      </c>
      <c r="C30" s="69" t="inlineStr">
        <is>
          <t>Marsh Gas Toad</t>
        </is>
      </c>
      <c r="D30" s="69" t="inlineStr">
        <is>
          <t>marsh-gas-toad</t>
        </is>
      </c>
      <c r="E30" s="69" t="inlineStr">
        <is>
          <t>Common</t>
        </is>
      </c>
      <c r="F30" s="69" t="inlineStr">
        <is>
          <t>Map 5</t>
        </is>
      </c>
      <c r="G30" s="69" t="inlineStr">
        <is>
          <t>Frog &amp; Toad</t>
        </is>
      </c>
    </row>
    <row r="31" ht="15" customHeight="1" s="39">
      <c r="A31" s="69" t="inlineStr">
        <is>
          <t>Card Pack I</t>
        </is>
      </c>
      <c r="B31" s="69" t="inlineStr">
        <is>
          <t>Map 5 (Gatorback Swamp)</t>
        </is>
      </c>
      <c r="C31" s="69" t="inlineStr">
        <is>
          <t>Moon Jelly</t>
        </is>
      </c>
      <c r="D31" s="69" t="inlineStr">
        <is>
          <t>moon-jelly</t>
        </is>
      </c>
      <c r="E31" s="69" t="inlineStr">
        <is>
          <t>Common</t>
        </is>
      </c>
      <c r="F31" s="69" t="inlineStr">
        <is>
          <t>Biome fodder · Ocean</t>
        </is>
      </c>
      <c r="G31" s="69" t="inlineStr">
        <is>
          <t>Coral &amp; Jelly</t>
        </is>
      </c>
    </row>
    <row r="32" ht="15" customHeight="1" s="39">
      <c r="A32" s="69" t="inlineStr">
        <is>
          <t>Card Pack I</t>
        </is>
      </c>
      <c r="B32" s="69" t="inlineStr">
        <is>
          <t>Map 5 (Gatorback Swamp)</t>
        </is>
      </c>
      <c r="C32" s="69" t="inlineStr">
        <is>
          <t>Lion's Mane Jelly</t>
        </is>
      </c>
      <c r="D32" s="69" t="inlineStr">
        <is>
          <t>lions-mane-jelly</t>
        </is>
      </c>
      <c r="E32" s="69" t="inlineStr">
        <is>
          <t>Uncommon</t>
        </is>
      </c>
      <c r="F32" s="69" t="inlineStr">
        <is>
          <t>Biome fodder · Ocean</t>
        </is>
      </c>
      <c r="G32" s="69" t="inlineStr">
        <is>
          <t>Coral &amp; Jelly</t>
        </is>
      </c>
    </row>
    <row r="33" ht="15" customHeight="1" s="39">
      <c r="A33" s="69" t="inlineStr">
        <is>
          <t>Card Pack I</t>
        </is>
      </c>
      <c r="B33" s="69" t="inlineStr">
        <is>
          <t>Map 5 (Gatorback Swamp)</t>
        </is>
      </c>
      <c r="C33" s="69" t="inlineStr">
        <is>
          <t>Coral Polyp Colony</t>
        </is>
      </c>
      <c r="D33" s="69" t="inlineStr">
        <is>
          <t>coral-polyp-colony</t>
        </is>
      </c>
      <c r="E33" s="69" t="inlineStr">
        <is>
          <t>Common</t>
        </is>
      </c>
      <c r="F33" s="69" t="inlineStr">
        <is>
          <t>Biome fodder · Ocean</t>
        </is>
      </c>
      <c r="G33" s="69" t="inlineStr">
        <is>
          <t>Coral &amp; Jelly</t>
        </is>
      </c>
    </row>
    <row r="34" ht="15" customHeight="1" s="39">
      <c r="A34" s="69" t="inlineStr">
        <is>
          <t>Card Pack I</t>
        </is>
      </c>
      <c r="B34" s="69" t="inlineStr">
        <is>
          <t>Map 5 (Gatorback Swamp)</t>
        </is>
      </c>
      <c r="C34" s="69" t="inlineStr">
        <is>
          <t>Reef Shark</t>
        </is>
      </c>
      <c r="D34" s="69" t="inlineStr">
        <is>
          <t>reef-shark</t>
        </is>
      </c>
      <c r="E34" s="69" t="inlineStr">
        <is>
          <t>Common</t>
        </is>
      </c>
      <c r="F34" s="69" t="inlineStr">
        <is>
          <t>Biome fodder · Ocean</t>
        </is>
      </c>
      <c r="G34" s="69" t="inlineStr">
        <is>
          <t>Shark &amp; Ray</t>
        </is>
      </c>
    </row>
    <row r="35" ht="15" customHeight="1" s="39">
      <c r="A35" s="69" t="inlineStr">
        <is>
          <t>Card Pack I</t>
        </is>
      </c>
      <c r="B35" s="69" t="inlineStr">
        <is>
          <t>Map 5 (Gatorback Swamp)</t>
        </is>
      </c>
      <c r="C35" s="69" t="inlineStr">
        <is>
          <t>Shoal Shark</t>
        </is>
      </c>
      <c r="D35" s="69" t="inlineStr">
        <is>
          <t>shoal-shark</t>
        </is>
      </c>
      <c r="E35" s="69" t="inlineStr">
        <is>
          <t>Uncommon</t>
        </is>
      </c>
      <c r="F35" s="69" t="inlineStr">
        <is>
          <t>Biome fodder · Ocean</t>
        </is>
      </c>
      <c r="G35" s="69" t="inlineStr">
        <is>
          <t>Shark &amp; Ray</t>
        </is>
      </c>
    </row>
    <row r="36" ht="15" customHeight="1" s="39">
      <c r="A36" s="69" t="inlineStr">
        <is>
          <t>Card Pack I</t>
        </is>
      </c>
      <c r="B36" s="69" t="inlineStr">
        <is>
          <t>Map 5 (Gatorback Swamp)</t>
        </is>
      </c>
      <c r="C36" s="69" t="inlineStr">
        <is>
          <t>Orca Vanguard</t>
        </is>
      </c>
      <c r="D36" s="69" t="inlineStr">
        <is>
          <t>orca-vanguard</t>
        </is>
      </c>
      <c r="E36" s="69" t="inlineStr">
        <is>
          <t>Common</t>
        </is>
      </c>
      <c r="F36" s="69" t="inlineStr">
        <is>
          <t>Biome fodder · Ocean</t>
        </is>
      </c>
      <c r="G36" s="69" t="inlineStr">
        <is>
          <t>Whale &amp; Seal</t>
        </is>
      </c>
    </row>
    <row r="37" ht="15" customHeight="1" s="39">
      <c r="A37" s="69" t="inlineStr">
        <is>
          <t>Card Pack I</t>
        </is>
      </c>
      <c r="B37" s="69" t="inlineStr">
        <is>
          <t>Map 5 (Gatorback Swamp)</t>
        </is>
      </c>
      <c r="C37" s="69" t="inlineStr">
        <is>
          <t>Octopus Tactician</t>
        </is>
      </c>
      <c r="D37" s="69" t="inlineStr">
        <is>
          <t>octopus-tactician</t>
        </is>
      </c>
      <c r="E37" s="69" t="inlineStr">
        <is>
          <t>Rare</t>
        </is>
      </c>
      <c r="F37" s="69" t="inlineStr">
        <is>
          <t>Biome fodder · Ocean</t>
        </is>
      </c>
      <c r="G37" s="69" t="inlineStr">
        <is>
          <t>Octopus &amp; Squid</t>
        </is>
      </c>
    </row>
    <row r="38" ht="15" customHeight="1" s="39">
      <c r="A38" s="69" t="inlineStr">
        <is>
          <t>Card Pack I</t>
        </is>
      </c>
      <c r="B38" s="69" t="inlineStr">
        <is>
          <t>Map 5 (Gatorback Swamp)</t>
        </is>
      </c>
      <c r="C38" s="69" t="inlineStr">
        <is>
          <t>Sea Turtle Elder</t>
        </is>
      </c>
      <c r="D38" s="69" t="inlineStr">
        <is>
          <t>sea-turtle-elder</t>
        </is>
      </c>
      <c r="E38" s="69" t="inlineStr">
        <is>
          <t>Common</t>
        </is>
      </c>
      <c r="F38" s="69" t="inlineStr">
        <is>
          <t>Biome fodder · Ocean</t>
        </is>
      </c>
      <c r="G38" s="69" t="inlineStr">
        <is>
          <t>Turtle</t>
        </is>
      </c>
    </row>
    <row r="39" ht="15" customHeight="1" s="39">
      <c r="A39" s="69" t="inlineStr">
        <is>
          <t>Card Pack I</t>
        </is>
      </c>
      <c r="B39" s="69" t="inlineStr">
        <is>
          <t>Map 5 (Gatorback Swamp)</t>
        </is>
      </c>
      <c r="C39" s="69" t="inlineStr">
        <is>
          <t>Conch Crawler</t>
        </is>
      </c>
      <c r="D39" s="69" t="inlineStr">
        <is>
          <t>conch-crawler</t>
        </is>
      </c>
      <c r="E39" s="69" t="inlineStr">
        <is>
          <t>Common</t>
        </is>
      </c>
      <c r="F39" s="69" t="inlineStr">
        <is>
          <t>Biome fodder · Ocean</t>
        </is>
      </c>
      <c r="G39" s="69" t="inlineStr">
        <is>
          <t>Snail &amp; Slug</t>
        </is>
      </c>
    </row>
    <row r="40" ht="15" customHeight="1" s="39">
      <c r="A40" s="69" t="inlineStr">
        <is>
          <t>Card Pack I</t>
        </is>
      </c>
      <c r="B40" s="69" t="inlineStr">
        <is>
          <t>Map 5 (Gatorback Swamp)</t>
        </is>
      </c>
      <c r="C40" s="69" t="inlineStr">
        <is>
          <t>Caiman Hatchling</t>
        </is>
      </c>
      <c r="D40" s="69" t="inlineStr">
        <is>
          <t>caiman-hatchling</t>
        </is>
      </c>
      <c r="E40" s="69" t="inlineStr">
        <is>
          <t>Common</t>
        </is>
      </c>
      <c r="F40" s="69" t="inlineStr">
        <is>
          <t>Biome fodder · Swamp</t>
        </is>
      </c>
      <c r="G40" s="69" t="inlineStr">
        <is>
          <t>Crocodile</t>
        </is>
      </c>
    </row>
    <row r="41" ht="15" customHeight="1" s="39">
      <c r="A41" s="69" t="inlineStr">
        <is>
          <t>Card Pack I</t>
        </is>
      </c>
      <c r="B41" s="69" t="inlineStr">
        <is>
          <t>Map 5 (Gatorback Swamp)</t>
        </is>
      </c>
      <c r="C41" s="69" t="inlineStr">
        <is>
          <t>Mudpuppy</t>
        </is>
      </c>
      <c r="D41" s="69" t="inlineStr">
        <is>
          <t>mudpuppy</t>
        </is>
      </c>
      <c r="E41" s="69" t="inlineStr">
        <is>
          <t>Common</t>
        </is>
      </c>
      <c r="F41" s="69" t="inlineStr">
        <is>
          <t>Biome fodder · Swamp</t>
        </is>
      </c>
      <c r="G41" s="69" t="inlineStr">
        <is>
          <t>Newt &amp; Salamander</t>
        </is>
      </c>
    </row>
    <row r="42" ht="15" customHeight="1" s="39">
      <c r="A42" s="69" t="inlineStr">
        <is>
          <t>Card Pack I</t>
        </is>
      </c>
      <c r="B42" s="69" t="inlineStr">
        <is>
          <t>Map 5 (Gatorback Swamp)</t>
        </is>
      </c>
      <c r="C42" s="69" t="inlineStr">
        <is>
          <t>Adder Ambusher</t>
        </is>
      </c>
      <c r="D42" s="69" t="inlineStr">
        <is>
          <t>adder-ambusher</t>
        </is>
      </c>
      <c r="E42" s="69" t="inlineStr">
        <is>
          <t>Rare</t>
        </is>
      </c>
      <c r="F42" s="69" t="inlineStr">
        <is>
          <t>Biome fodder · Swamp</t>
        </is>
      </c>
      <c r="G42" s="69" t="inlineStr">
        <is>
          <t>Snake</t>
        </is>
      </c>
    </row>
    <row r="43" ht="15" customHeight="1" s="39">
      <c r="A43" s="69" t="inlineStr">
        <is>
          <t>Card Pack I</t>
        </is>
      </c>
      <c r="B43" s="69" t="inlineStr">
        <is>
          <t>Map 5 (Gatorback Swamp)</t>
        </is>
      </c>
      <c r="C43" s="69" t="inlineStr">
        <is>
          <t>Constrictor Coil</t>
        </is>
      </c>
      <c r="D43" s="69" t="inlineStr">
        <is>
          <t>constrictor-coil</t>
        </is>
      </c>
      <c r="E43" s="69" t="inlineStr">
        <is>
          <t>Common</t>
        </is>
      </c>
      <c r="F43" s="69" t="inlineStr">
        <is>
          <t>Biome fodder · Swamp</t>
        </is>
      </c>
      <c r="G43" s="69" t="inlineStr">
        <is>
          <t>Snake</t>
        </is>
      </c>
    </row>
    <row r="44" ht="15" customHeight="1" s="39">
      <c r="A44" s="69" t="inlineStr">
        <is>
          <t>Card Pack I</t>
        </is>
      </c>
      <c r="B44" s="69" t="inlineStr">
        <is>
          <t>Map 5 (Gatorback Swamp)</t>
        </is>
      </c>
      <c r="C44" s="69" t="inlineStr">
        <is>
          <t>Venomlord Serpent</t>
        </is>
      </c>
      <c r="D44" s="69" t="inlineStr">
        <is>
          <t>venomlord-serpent</t>
        </is>
      </c>
      <c r="E44" s="69" t="inlineStr">
        <is>
          <t>Common</t>
        </is>
      </c>
      <c r="F44" s="69" t="inlineStr">
        <is>
          <t>Biome fodder · Swamp</t>
        </is>
      </c>
      <c r="G44" s="69" t="inlineStr">
        <is>
          <t>Snake</t>
        </is>
      </c>
    </row>
    <row r="45" ht="15" customHeight="1" s="39">
      <c r="A45" s="69" t="inlineStr">
        <is>
          <t>Card Pack I</t>
        </is>
      </c>
      <c r="B45" s="69" t="inlineStr">
        <is>
          <t>Map 5 (Gatorback Swamp)</t>
        </is>
      </c>
      <c r="C45" s="69" t="inlineStr">
        <is>
          <t>Swamp Alligator</t>
        </is>
      </c>
      <c r="D45" s="69" t="inlineStr">
        <is>
          <t>swamp-alligator</t>
        </is>
      </c>
      <c r="E45" s="69" t="inlineStr">
        <is>
          <t>Common</t>
        </is>
      </c>
      <c r="F45" s="69" t="inlineStr">
        <is>
          <t>Biome fodder · Swamp</t>
        </is>
      </c>
      <c r="G45" s="69" t="inlineStr">
        <is>
          <t>Crocodile</t>
        </is>
      </c>
    </row>
    <row r="46" ht="15" customHeight="1" s="39">
      <c r="A46" s="69" t="inlineStr">
        <is>
          <t>Card Pack I</t>
        </is>
      </c>
      <c r="B46" s="69" t="inlineStr">
        <is>
          <t>Map 5 (Gatorback Swamp)</t>
        </is>
      </c>
      <c r="C46" s="69" t="inlineStr">
        <is>
          <t>Gangrenous Leech</t>
        </is>
      </c>
      <c r="D46" s="69" t="inlineStr">
        <is>
          <t>gangrenous-leech</t>
        </is>
      </c>
      <c r="E46" s="69" t="inlineStr">
        <is>
          <t>Uncommon</t>
        </is>
      </c>
      <c r="F46" s="69" t="inlineStr">
        <is>
          <t>Biome fodder · Swamp</t>
        </is>
      </c>
      <c r="G46" s="69" t="inlineStr">
        <is>
          <t>Worm &amp; Leech</t>
        </is>
      </c>
    </row>
    <row r="47" ht="15" customHeight="1" s="39">
      <c r="A47" s="69" t="inlineStr">
        <is>
          <t>Card Pack I</t>
        </is>
      </c>
      <c r="B47" s="69" t="inlineStr">
        <is>
          <t>Map 5 (Gatorback Swamp)</t>
        </is>
      </c>
      <c r="C47" s="69" t="inlineStr">
        <is>
          <t>Bog Behemoth</t>
        </is>
      </c>
      <c r="D47" s="69" t="inlineStr">
        <is>
          <t>bog-behemoth</t>
        </is>
      </c>
      <c r="E47" s="69" t="inlineStr">
        <is>
          <t>Common</t>
        </is>
      </c>
      <c r="F47" s="69" t="inlineStr">
        <is>
          <t>Biome fodder · Swamp</t>
        </is>
      </c>
      <c r="G47" s="69" t="inlineStr">
        <is>
          <t>Frog &amp; Toad</t>
        </is>
      </c>
    </row>
    <row r="48" ht="15" customHeight="1" s="39">
      <c r="A48" s="69" t="inlineStr">
        <is>
          <t>Card Pack I</t>
        </is>
      </c>
      <c r="B48" s="69" t="inlineStr">
        <is>
          <t>Map 5 (Gatorback Swamp)</t>
        </is>
      </c>
      <c r="C48" s="69" t="inlineStr">
        <is>
          <t>Mallard Marauder</t>
        </is>
      </c>
      <c r="D48" s="69" t="inlineStr">
        <is>
          <t>mallard-marauder</t>
        </is>
      </c>
      <c r="E48" s="69" t="inlineStr">
        <is>
          <t>Rare</t>
        </is>
      </c>
      <c r="F48" s="69" t="inlineStr">
        <is>
          <t>Biome fodder · Swamp</t>
        </is>
      </c>
      <c r="G48" s="69" t="inlineStr">
        <is>
          <t>Duck &amp; Goose</t>
        </is>
      </c>
    </row>
    <row r="49" ht="15" customHeight="1" s="39">
      <c r="A49" s="69" t="inlineStr">
        <is>
          <t>Card Pack I</t>
        </is>
      </c>
      <c r="B49" s="69" t="inlineStr">
        <is>
          <t>Map 5 (Gatorback Swamp)</t>
        </is>
      </c>
      <c r="C49" s="69" t="inlineStr">
        <is>
          <t>Stone Turtle Warden</t>
        </is>
      </c>
      <c r="D49" s="69" t="inlineStr">
        <is>
          <t>stone-turtle-warden</t>
        </is>
      </c>
      <c r="E49" s="69" t="inlineStr">
        <is>
          <t>Common</t>
        </is>
      </c>
      <c r="F49" s="69" t="inlineStr">
        <is>
          <t>Biome fodder · Swamp</t>
        </is>
      </c>
      <c r="G49" s="69" t="inlineStr">
        <is>
          <t>Turtle</t>
        </is>
      </c>
    </row>
    <row r="50" ht="15" customHeight="1" s="39">
      <c r="A50" s="69" t="inlineStr">
        <is>
          <t>Card Pack II</t>
        </is>
      </c>
      <c r="B50" s="69" t="inlineStr">
        <is>
          <t>Map 11 (Eyrie Heights)</t>
        </is>
      </c>
      <c r="C50" s="69" t="inlineStr">
        <is>
          <t>Mangrove Mudskipper</t>
        </is>
      </c>
      <c r="D50" s="69" t="inlineStr">
        <is>
          <t>mangrove-mudskipper</t>
        </is>
      </c>
      <c r="E50" s="69" t="inlineStr">
        <is>
          <t>Common</t>
        </is>
      </c>
      <c r="F50" s="69" t="inlineStr">
        <is>
          <t>Map 6</t>
        </is>
      </c>
      <c r="G50" s="69" t="inlineStr">
        <is>
          <t>Reef &amp; Sea Fish</t>
        </is>
      </c>
    </row>
    <row r="51" ht="15" customHeight="1" s="39">
      <c r="A51" s="69" t="inlineStr">
        <is>
          <t>Card Pack II</t>
        </is>
      </c>
      <c r="B51" s="69" t="inlineStr">
        <is>
          <t>Map 11 (Eyrie Heights)</t>
        </is>
      </c>
      <c r="C51" s="69" t="inlineStr">
        <is>
          <t>Crocodile Ambusher</t>
        </is>
      </c>
      <c r="D51" s="69" t="inlineStr">
        <is>
          <t>crocodile-ambusher</t>
        </is>
      </c>
      <c r="E51" s="69" t="inlineStr">
        <is>
          <t>Common</t>
        </is>
      </c>
      <c r="F51" s="69" t="inlineStr">
        <is>
          <t>Map 6</t>
        </is>
      </c>
      <c r="G51" s="69" t="inlineStr">
        <is>
          <t>Crocodile</t>
        </is>
      </c>
    </row>
    <row r="52" ht="15" customHeight="1" s="39">
      <c r="A52" s="69" t="inlineStr">
        <is>
          <t>Card Pack II</t>
        </is>
      </c>
      <c r="B52" s="69" t="inlineStr">
        <is>
          <t>Map 11 (Eyrie Heights)</t>
        </is>
      </c>
      <c r="C52" s="69" t="inlineStr">
        <is>
          <t>Raccoon Bandit</t>
        </is>
      </c>
      <c r="D52" s="69" t="inlineStr">
        <is>
          <t>raccoon-bandit</t>
        </is>
      </c>
      <c r="E52" s="69" t="inlineStr">
        <is>
          <t>Rare</t>
        </is>
      </c>
      <c r="F52" s="69" t="inlineStr">
        <is>
          <t>Map 6</t>
        </is>
      </c>
      <c r="G52" s="69" t="inlineStr">
        <is>
          <t>Raccoon</t>
        </is>
      </c>
    </row>
    <row r="53" ht="15" customHeight="1" s="39">
      <c r="A53" s="69" t="inlineStr">
        <is>
          <t>Card Pack II</t>
        </is>
      </c>
      <c r="B53" s="69" t="inlineStr">
        <is>
          <t>Map 11 (Eyrie Heights)</t>
        </is>
      </c>
      <c r="C53" s="69" t="inlineStr">
        <is>
          <t>Nightshade Moth</t>
        </is>
      </c>
      <c r="D53" s="69" t="inlineStr">
        <is>
          <t>nightshade-moth</t>
        </is>
      </c>
      <c r="E53" s="69" t="inlineStr">
        <is>
          <t>Common</t>
        </is>
      </c>
      <c r="F53" s="69" t="inlineStr">
        <is>
          <t>Map 7</t>
        </is>
      </c>
      <c r="G53" s="69" t="inlineStr">
        <is>
          <t>Moth &amp; Butterfly</t>
        </is>
      </c>
    </row>
    <row r="54" ht="15" customHeight="1" s="39">
      <c r="A54" s="69" t="inlineStr">
        <is>
          <t>Card Pack II</t>
        </is>
      </c>
      <c r="B54" s="69" t="inlineStr">
        <is>
          <t>Map 11 (Eyrie Heights)</t>
        </is>
      </c>
      <c r="C54" s="69" t="inlineStr">
        <is>
          <t>Dung Beetle</t>
        </is>
      </c>
      <c r="D54" s="69" t="inlineStr">
        <is>
          <t>dung-beetle</t>
        </is>
      </c>
      <c r="E54" s="69" t="inlineStr">
        <is>
          <t>Common</t>
        </is>
      </c>
      <c r="F54" s="69" t="inlineStr">
        <is>
          <t>Map 7</t>
        </is>
      </c>
      <c r="G54" s="69" t="inlineStr">
        <is>
          <t>Beetle &amp; Bug</t>
        </is>
      </c>
    </row>
    <row r="55" ht="15" customHeight="1" s="39">
      <c r="A55" s="69" t="inlineStr">
        <is>
          <t>Card Pack II</t>
        </is>
      </c>
      <c r="B55" s="69" t="inlineStr">
        <is>
          <t>Map 11 (Eyrie Heights)</t>
        </is>
      </c>
      <c r="C55" s="69" t="inlineStr">
        <is>
          <t>Bombardier Beetle</t>
        </is>
      </c>
      <c r="D55" s="69" t="inlineStr">
        <is>
          <t>bombardier-beetle</t>
        </is>
      </c>
      <c r="E55" s="69" t="inlineStr">
        <is>
          <t>Uncommon</t>
        </is>
      </c>
      <c r="F55" s="69" t="inlineStr">
        <is>
          <t>Map 7</t>
        </is>
      </c>
      <c r="G55" s="69" t="inlineStr">
        <is>
          <t>Beetle &amp; Bug</t>
        </is>
      </c>
    </row>
    <row r="56" ht="15" customHeight="1" s="39">
      <c r="A56" s="69" t="inlineStr">
        <is>
          <t>Card Pack II</t>
        </is>
      </c>
      <c r="B56" s="69" t="inlineStr">
        <is>
          <t>Map 11 (Eyrie Heights)</t>
        </is>
      </c>
      <c r="C56" s="69" t="inlineStr">
        <is>
          <t>Trapdoor Spider</t>
        </is>
      </c>
      <c r="D56" s="69" t="inlineStr">
        <is>
          <t>trapdoor-spider</t>
        </is>
      </c>
      <c r="E56" s="69" t="inlineStr">
        <is>
          <t>Rare</t>
        </is>
      </c>
      <c r="F56" s="69" t="inlineStr">
        <is>
          <t>Map 7</t>
        </is>
      </c>
      <c r="G56" s="69" t="inlineStr">
        <is>
          <t>Spider &amp; Scorpion</t>
        </is>
      </c>
    </row>
    <row r="57" ht="15" customHeight="1" s="39">
      <c r="A57" s="69" t="inlineStr">
        <is>
          <t>Card Pack II</t>
        </is>
      </c>
      <c r="B57" s="69" t="inlineStr">
        <is>
          <t>Map 11 (Eyrie Heights)</t>
        </is>
      </c>
      <c r="C57" s="69" t="inlineStr">
        <is>
          <t>Echo Screecher</t>
        </is>
      </c>
      <c r="D57" s="69" t="inlineStr">
        <is>
          <t>echo-screecher</t>
        </is>
      </c>
      <c r="E57" s="69" t="inlineStr">
        <is>
          <t>Rare</t>
        </is>
      </c>
      <c r="F57" s="69" t="inlineStr">
        <is>
          <t>Map 8</t>
        </is>
      </c>
      <c r="G57" s="69" t="inlineStr">
        <is>
          <t>Bat</t>
        </is>
      </c>
    </row>
    <row r="58" ht="15" customHeight="1" s="39">
      <c r="A58" s="69" t="inlineStr">
        <is>
          <t>Card Pack II</t>
        </is>
      </c>
      <c r="B58" s="69" t="inlineStr">
        <is>
          <t>Map 11 (Eyrie Heights)</t>
        </is>
      </c>
      <c r="C58" s="69" t="inlineStr">
        <is>
          <t>Stalactite Golem</t>
        </is>
      </c>
      <c r="D58" s="69" t="inlineStr">
        <is>
          <t>stalactite-golem</t>
        </is>
      </c>
      <c r="E58" s="69" t="inlineStr">
        <is>
          <t>Common</t>
        </is>
      </c>
      <c r="F58" s="69" t="inlineStr">
        <is>
          <t>Map 8</t>
        </is>
      </c>
      <c r="G58" s="69" t="inlineStr">
        <is>
          <t>Elemental</t>
        </is>
      </c>
    </row>
    <row r="59" ht="15" customHeight="1" s="39">
      <c r="A59" s="69" t="inlineStr">
        <is>
          <t>Card Pack II</t>
        </is>
      </c>
      <c r="B59" s="69" t="inlineStr">
        <is>
          <t>Map 11 (Eyrie Heights)</t>
        </is>
      </c>
      <c r="C59" s="69" t="inlineStr">
        <is>
          <t>Quarry Mole</t>
        </is>
      </c>
      <c r="D59" s="69" t="inlineStr">
        <is>
          <t>quarry-mole</t>
        </is>
      </c>
      <c r="E59" s="69" t="inlineStr">
        <is>
          <t>Common</t>
        </is>
      </c>
      <c r="F59" s="69" t="inlineStr">
        <is>
          <t>Map 8</t>
        </is>
      </c>
      <c r="G59" s="69" t="inlineStr">
        <is>
          <t>Mole</t>
        </is>
      </c>
    </row>
    <row r="60" ht="15" customHeight="1" s="39">
      <c r="A60" s="69" t="inlineStr">
        <is>
          <t>Card Pack II</t>
        </is>
      </c>
      <c r="B60" s="69" t="inlineStr">
        <is>
          <t>Map 11 (Eyrie Heights)</t>
        </is>
      </c>
      <c r="C60" s="69" t="inlineStr">
        <is>
          <t>Gull Thief</t>
        </is>
      </c>
      <c r="D60" s="69" t="inlineStr">
        <is>
          <t>gull-thief</t>
        </is>
      </c>
      <c r="E60" s="69" t="inlineStr">
        <is>
          <t>Common</t>
        </is>
      </c>
      <c r="F60" s="69" t="inlineStr">
        <is>
          <t>Map 9</t>
        </is>
      </c>
      <c r="G60" s="69" t="inlineStr">
        <is>
          <t>Waterbird</t>
        </is>
      </c>
    </row>
    <row r="61" ht="15" customHeight="1" s="39">
      <c r="A61" s="69" t="inlineStr">
        <is>
          <t>Card Pack II</t>
        </is>
      </c>
      <c r="B61" s="69" t="inlineStr">
        <is>
          <t>Map 11 (Eyrie Heights)</t>
        </is>
      </c>
      <c r="C61" s="69" t="inlineStr">
        <is>
          <t>Clownfish Scout</t>
        </is>
      </c>
      <c r="D61" s="69" t="inlineStr">
        <is>
          <t>clownfish-scout</t>
        </is>
      </c>
      <c r="E61" s="69" t="inlineStr">
        <is>
          <t>Common</t>
        </is>
      </c>
      <c r="F61" s="69" t="inlineStr">
        <is>
          <t>Map 9</t>
        </is>
      </c>
      <c r="G61" s="69" t="inlineStr">
        <is>
          <t>Reef &amp; Sea Fish</t>
        </is>
      </c>
    </row>
    <row r="62" ht="15" customHeight="1" s="39">
      <c r="A62" s="69" t="inlineStr">
        <is>
          <t>Card Pack II</t>
        </is>
      </c>
      <c r="B62" s="69" t="inlineStr">
        <is>
          <t>Map 11 (Eyrie Heights)</t>
        </is>
      </c>
      <c r="C62" s="69" t="inlineStr">
        <is>
          <t>Riptide Eel</t>
        </is>
      </c>
      <c r="D62" s="69" t="inlineStr">
        <is>
          <t>riptide-eel</t>
        </is>
      </c>
      <c r="E62" s="69" t="inlineStr">
        <is>
          <t>Uncommon</t>
        </is>
      </c>
      <c r="F62" s="69" t="inlineStr">
        <is>
          <t>Map 9</t>
        </is>
      </c>
      <c r="G62" s="69" t="inlineStr">
        <is>
          <t>Eel</t>
        </is>
      </c>
    </row>
    <row r="63" ht="15" customHeight="1" s="39">
      <c r="A63" s="69" t="inlineStr">
        <is>
          <t>Card Pack II</t>
        </is>
      </c>
      <c r="B63" s="69" t="inlineStr">
        <is>
          <t>Map 11 (Eyrie Heights)</t>
        </is>
      </c>
      <c r="C63" s="69" t="inlineStr">
        <is>
          <t>Mangrove Monitor</t>
        </is>
      </c>
      <c r="D63" s="69" t="inlineStr">
        <is>
          <t>mangrove-monitor</t>
        </is>
      </c>
      <c r="E63" s="69" t="inlineStr">
        <is>
          <t>Common</t>
        </is>
      </c>
      <c r="F63" s="69" t="inlineStr">
        <is>
          <t>Map 9</t>
        </is>
      </c>
      <c r="G63" s="69" t="inlineStr">
        <is>
          <t>Lizard</t>
        </is>
      </c>
    </row>
    <row r="64" ht="15" customHeight="1" s="39">
      <c r="A64" s="69" t="inlineStr">
        <is>
          <t>Card Pack II</t>
        </is>
      </c>
      <c r="B64" s="69" t="inlineStr">
        <is>
          <t>Map 11 (Eyrie Heights)</t>
        </is>
      </c>
      <c r="C64" s="69" t="inlineStr">
        <is>
          <t>Coral Reef Shark</t>
        </is>
      </c>
      <c r="D64" s="69" t="inlineStr">
        <is>
          <t>coral-reef-shark</t>
        </is>
      </c>
      <c r="E64" s="69" t="inlineStr">
        <is>
          <t>Uncommon</t>
        </is>
      </c>
      <c r="F64" s="69" t="inlineStr">
        <is>
          <t>Map 10</t>
        </is>
      </c>
      <c r="G64" s="69" t="inlineStr">
        <is>
          <t>Shark &amp; Ray</t>
        </is>
      </c>
    </row>
    <row r="65" ht="15" customHeight="1" s="39">
      <c r="A65" s="69" t="inlineStr">
        <is>
          <t>Card Pack II</t>
        </is>
      </c>
      <c r="B65" s="69" t="inlineStr">
        <is>
          <t>Map 11 (Eyrie Heights)</t>
        </is>
      </c>
      <c r="C65" s="69" t="inlineStr">
        <is>
          <t>Voltaic Eel</t>
        </is>
      </c>
      <c r="D65" s="69" t="inlineStr">
        <is>
          <t>voltaic-eel</t>
        </is>
      </c>
      <c r="E65" s="69" t="inlineStr">
        <is>
          <t>Rare</t>
        </is>
      </c>
      <c r="F65" s="69" t="inlineStr">
        <is>
          <t>Map 10</t>
        </is>
      </c>
      <c r="G65" s="69" t="inlineStr">
        <is>
          <t>Eel</t>
        </is>
      </c>
    </row>
    <row r="66" ht="15" customHeight="1" s="39">
      <c r="A66" s="69" t="inlineStr">
        <is>
          <t>Card Pack II</t>
        </is>
      </c>
      <c r="B66" s="69" t="inlineStr">
        <is>
          <t>Map 11 (Eyrie Heights)</t>
        </is>
      </c>
      <c r="C66" s="69" t="inlineStr">
        <is>
          <t>Pufferfish Bulwark</t>
        </is>
      </c>
      <c r="D66" s="69" t="inlineStr">
        <is>
          <t>pufferfish-bulwark</t>
        </is>
      </c>
      <c r="E66" s="69" t="inlineStr">
        <is>
          <t>Common</t>
        </is>
      </c>
      <c r="F66" s="69" t="inlineStr">
        <is>
          <t>Map 10</t>
        </is>
      </c>
      <c r="G66" s="69" t="inlineStr">
        <is>
          <t>Reef &amp; Sea Fish</t>
        </is>
      </c>
    </row>
    <row r="67" ht="15" customHeight="1" s="39">
      <c r="A67" s="69" t="inlineStr">
        <is>
          <t>Card Pack II</t>
        </is>
      </c>
      <c r="B67" s="69" t="inlineStr">
        <is>
          <t>Map 11 (Eyrie Heights)</t>
        </is>
      </c>
      <c r="C67" s="69" t="inlineStr">
        <is>
          <t>Eyrie Warden</t>
        </is>
      </c>
      <c r="D67" s="69" t="inlineStr">
        <is>
          <t>eyrie-warden</t>
        </is>
      </c>
      <c r="E67" s="69" t="inlineStr">
        <is>
          <t>Common</t>
        </is>
      </c>
      <c r="F67" s="69" t="inlineStr">
        <is>
          <t>Map 11</t>
        </is>
      </c>
      <c r="G67" s="69" t="inlineStr">
        <is>
          <t>Eagle &amp; Hawk</t>
        </is>
      </c>
    </row>
    <row r="68" ht="15" customHeight="1" s="39">
      <c r="A68" s="69" t="inlineStr">
        <is>
          <t>Card Pack II</t>
        </is>
      </c>
      <c r="B68" s="69" t="inlineStr">
        <is>
          <t>Map 11 (Eyrie Heights)</t>
        </is>
      </c>
      <c r="C68" s="69" t="inlineStr">
        <is>
          <t>Stonedrop Vulture</t>
        </is>
      </c>
      <c r="D68" s="69" t="inlineStr">
        <is>
          <t>stonedrop-vulture</t>
        </is>
      </c>
      <c r="E68" s="69" t="inlineStr">
        <is>
          <t>Uncommon</t>
        </is>
      </c>
      <c r="F68" s="69" t="inlineStr">
        <is>
          <t>Map 11</t>
        </is>
      </c>
      <c r="G68" s="69" t="inlineStr">
        <is>
          <t>Eagle &amp; Hawk</t>
        </is>
      </c>
    </row>
    <row r="69" ht="15" customHeight="1" s="39">
      <c r="A69" s="69" t="inlineStr">
        <is>
          <t>Card Pack II</t>
        </is>
      </c>
      <c r="B69" s="69" t="inlineStr">
        <is>
          <t>Map 11 (Eyrie Heights)</t>
        </is>
      </c>
      <c r="C69" s="69" t="inlineStr">
        <is>
          <t>Chipmunk Hoarder</t>
        </is>
      </c>
      <c r="D69" s="69" t="inlineStr">
        <is>
          <t>chipmunk-hoarder</t>
        </is>
      </c>
      <c r="E69" s="69" t="inlineStr">
        <is>
          <t>Common</t>
        </is>
      </c>
      <c r="F69" s="69" t="inlineStr">
        <is>
          <t>Map 11</t>
        </is>
      </c>
      <c r="G69" s="69" t="inlineStr">
        <is>
          <t>Chipmunk &amp; Squirrel</t>
        </is>
      </c>
    </row>
    <row r="70" ht="15" customHeight="1" s="39">
      <c r="A70" s="69" t="inlineStr">
        <is>
          <t>Card Pack II</t>
        </is>
      </c>
      <c r="B70" s="69" t="inlineStr">
        <is>
          <t>Map 11 (Eyrie Heights)</t>
        </is>
      </c>
      <c r="C70" s="69" t="inlineStr">
        <is>
          <t>Alpine Marmot</t>
        </is>
      </c>
      <c r="D70" s="69" t="inlineStr">
        <is>
          <t>alpine-marmot</t>
        </is>
      </c>
      <c r="E70" s="69" t="inlineStr">
        <is>
          <t>Common</t>
        </is>
      </c>
      <c r="F70" s="69" t="inlineStr">
        <is>
          <t>Map 11</t>
        </is>
      </c>
      <c r="G70" s="69" t="inlineStr">
        <is>
          <t>Chipmunk &amp; Squirrel</t>
        </is>
      </c>
    </row>
    <row r="71" ht="15" customHeight="1" s="39">
      <c r="A71" s="69" t="inlineStr">
        <is>
          <t>Card Pack II</t>
        </is>
      </c>
      <c r="B71" s="69" t="inlineStr">
        <is>
          <t>Map 11 (Eyrie Heights)</t>
        </is>
      </c>
      <c r="C71" s="69" t="inlineStr">
        <is>
          <t>Cave Olm</t>
        </is>
      </c>
      <c r="D71" s="69" t="inlineStr">
        <is>
          <t>cave-olm</t>
        </is>
      </c>
      <c r="E71" s="69" t="inlineStr">
        <is>
          <t>Common</t>
        </is>
      </c>
      <c r="F71" s="69" t="inlineStr">
        <is>
          <t>Biome fodder · Cave</t>
        </is>
      </c>
      <c r="G71" s="69" t="inlineStr">
        <is>
          <t>Newt &amp; Salamander</t>
        </is>
      </c>
    </row>
    <row r="72" ht="15" customHeight="1" s="39">
      <c r="A72" s="69" t="inlineStr">
        <is>
          <t>Card Pack II</t>
        </is>
      </c>
      <c r="B72" s="69" t="inlineStr">
        <is>
          <t>Map 11 (Eyrie Heights)</t>
        </is>
      </c>
      <c r="C72" s="69" t="inlineStr">
        <is>
          <t>Glimmer Spider</t>
        </is>
      </c>
      <c r="D72" s="69" t="inlineStr">
        <is>
          <t>glimmer-spider</t>
        </is>
      </c>
      <c r="E72" s="69" t="inlineStr">
        <is>
          <t>Uncommon</t>
        </is>
      </c>
      <c r="F72" s="69" t="inlineStr">
        <is>
          <t>Biome fodder · Cave</t>
        </is>
      </c>
      <c r="G72" s="69" t="inlineStr">
        <is>
          <t>Spider &amp; Scorpion</t>
        </is>
      </c>
    </row>
    <row r="73" ht="15" customHeight="1" s="39">
      <c r="A73" s="69" t="inlineStr">
        <is>
          <t>Card Pack II</t>
        </is>
      </c>
      <c r="B73" s="69" t="inlineStr">
        <is>
          <t>Map 11 (Eyrie Heights)</t>
        </is>
      </c>
      <c r="C73" s="69" t="inlineStr">
        <is>
          <t>Cave Bat Swarm</t>
        </is>
      </c>
      <c r="D73" s="69" t="inlineStr">
        <is>
          <t>cave-bat-swarm</t>
        </is>
      </c>
      <c r="E73" s="69" t="inlineStr">
        <is>
          <t>Rare</t>
        </is>
      </c>
      <c r="F73" s="69" t="inlineStr">
        <is>
          <t>Biome fodder · Cave</t>
        </is>
      </c>
      <c r="G73" s="69" t="inlineStr">
        <is>
          <t>Bat</t>
        </is>
      </c>
    </row>
    <row r="74" ht="15" customHeight="1" s="39">
      <c r="A74" s="69" t="inlineStr">
        <is>
          <t>Card Pack II</t>
        </is>
      </c>
      <c r="B74" s="69" t="inlineStr">
        <is>
          <t>Map 11 (Eyrie Heights)</t>
        </is>
      </c>
      <c r="C74" s="69" t="inlineStr">
        <is>
          <t>Vampire Roost</t>
        </is>
      </c>
      <c r="D74" s="69" t="inlineStr">
        <is>
          <t>vampire-roost</t>
        </is>
      </c>
      <c r="E74" s="69" t="inlineStr">
        <is>
          <t>Common</t>
        </is>
      </c>
      <c r="F74" s="69" t="inlineStr">
        <is>
          <t>Biome fodder · Cave</t>
        </is>
      </c>
      <c r="G74" s="69" t="inlineStr">
        <is>
          <t>Bat</t>
        </is>
      </c>
    </row>
    <row r="75" ht="15" customHeight="1" s="39">
      <c r="A75" s="69" t="inlineStr">
        <is>
          <t>Card Pack II</t>
        </is>
      </c>
      <c r="B75" s="69" t="inlineStr">
        <is>
          <t>Map 11 (Eyrie Heights)</t>
        </is>
      </c>
      <c r="C75" s="69" t="inlineStr">
        <is>
          <t>Cave Centipede</t>
        </is>
      </c>
      <c r="D75" s="69" t="inlineStr">
        <is>
          <t>cave-centipede</t>
        </is>
      </c>
      <c r="E75" s="69" t="inlineStr">
        <is>
          <t>Common</t>
        </is>
      </c>
      <c r="F75" s="69" t="inlineStr">
        <is>
          <t>Biome fodder · Cave</t>
        </is>
      </c>
      <c r="G75" s="69" t="inlineStr">
        <is>
          <t>Centipede</t>
        </is>
      </c>
    </row>
    <row r="76" ht="15" customHeight="1" s="39">
      <c r="A76" s="69" t="inlineStr">
        <is>
          <t>Card Pack II</t>
        </is>
      </c>
      <c r="B76" s="69" t="inlineStr">
        <is>
          <t>Map 11 (Eyrie Heights)</t>
        </is>
      </c>
      <c r="C76" s="69" t="inlineStr">
        <is>
          <t>Millipede Hauler</t>
        </is>
      </c>
      <c r="D76" s="69" t="inlineStr">
        <is>
          <t>millipede-hauler</t>
        </is>
      </c>
      <c r="E76" s="69" t="inlineStr">
        <is>
          <t>Uncommon</t>
        </is>
      </c>
      <c r="F76" s="69" t="inlineStr">
        <is>
          <t>Biome fodder · Cave</t>
        </is>
      </c>
      <c r="G76" s="69" t="inlineStr">
        <is>
          <t>Centipede</t>
        </is>
      </c>
    </row>
    <row r="77" ht="15" customHeight="1" s="39">
      <c r="A77" s="69" t="inlineStr">
        <is>
          <t>Card Pack II</t>
        </is>
      </c>
      <c r="B77" s="69" t="inlineStr">
        <is>
          <t>Map 11 (Eyrie Heights)</t>
        </is>
      </c>
      <c r="C77" s="69" t="inlineStr">
        <is>
          <t>Glowworm Cluster</t>
        </is>
      </c>
      <c r="D77" s="69" t="inlineStr">
        <is>
          <t>glowworm-cluster</t>
        </is>
      </c>
      <c r="E77" s="69" t="inlineStr">
        <is>
          <t>Common</t>
        </is>
      </c>
      <c r="F77" s="69" t="inlineStr">
        <is>
          <t>Biome fodder · Cave</t>
        </is>
      </c>
      <c r="G77" s="69" t="inlineStr">
        <is>
          <t>Beetle &amp; Bug</t>
        </is>
      </c>
    </row>
    <row r="78" ht="15" customHeight="1" s="39">
      <c r="A78" s="69" t="inlineStr">
        <is>
          <t>Card Pack II</t>
        </is>
      </c>
      <c r="B78" s="69" t="inlineStr">
        <is>
          <t>Map 11 (Eyrie Heights)</t>
        </is>
      </c>
      <c r="C78" s="69" t="inlineStr">
        <is>
          <t>Ore-Smelter Mole</t>
        </is>
      </c>
      <c r="D78" s="69" t="inlineStr">
        <is>
          <t>ore-smelter-mole</t>
        </is>
      </c>
      <c r="E78" s="69" t="inlineStr">
        <is>
          <t>Uncommon</t>
        </is>
      </c>
      <c r="F78" s="69" t="inlineStr">
        <is>
          <t>Biome fodder · Cave</t>
        </is>
      </c>
      <c r="G78" s="69" t="inlineStr">
        <is>
          <t>Mole</t>
        </is>
      </c>
    </row>
    <row r="79" ht="15" customHeight="1" s="39">
      <c r="A79" s="69" t="inlineStr">
        <is>
          <t>Card Pack II</t>
        </is>
      </c>
      <c r="B79" s="69" t="inlineStr">
        <is>
          <t>Map 11 (Eyrie Heights)</t>
        </is>
      </c>
      <c r="C79" s="69" t="inlineStr">
        <is>
          <t>Subterraneaner</t>
        </is>
      </c>
      <c r="D79" s="69" t="inlineStr">
        <is>
          <t>subterraneaner</t>
        </is>
      </c>
      <c r="E79" s="69" t="inlineStr">
        <is>
          <t>Uncommon</t>
        </is>
      </c>
      <c r="F79" s="69" t="inlineStr">
        <is>
          <t>Biome fodder · Cave</t>
        </is>
      </c>
      <c r="G79" s="69" t="inlineStr">
        <is>
          <t>Mole</t>
        </is>
      </c>
    </row>
    <row r="80" ht="15" customHeight="1" s="39">
      <c r="A80" s="69" t="inlineStr">
        <is>
          <t>Card Pack II</t>
        </is>
      </c>
      <c r="B80" s="69" t="inlineStr">
        <is>
          <t>Map 11 (Eyrie Heights)</t>
        </is>
      </c>
      <c r="C80" s="69" t="inlineStr">
        <is>
          <t>Tiny Cave Dweller</t>
        </is>
      </c>
      <c r="D80" s="69" t="inlineStr">
        <is>
          <t>tiny-cave-dweller</t>
        </is>
      </c>
      <c r="E80" s="69" t="inlineStr">
        <is>
          <t>Uncommon</t>
        </is>
      </c>
      <c r="F80" s="69" t="inlineStr">
        <is>
          <t>Biome fodder · Cave</t>
        </is>
      </c>
      <c r="G80" s="69" t="inlineStr">
        <is>
          <t>Crab &amp; Shrimp</t>
        </is>
      </c>
    </row>
    <row r="81" ht="15" customHeight="1" s="39">
      <c r="A81" s="69" t="inlineStr">
        <is>
          <t>Card Pack III</t>
        </is>
      </c>
      <c r="B81" s="69" t="inlineStr">
        <is>
          <t>Map 17 (Wolfsbane Tundra)</t>
        </is>
      </c>
      <c r="C81" s="69" t="inlineStr">
        <is>
          <t>Rodent King</t>
        </is>
      </c>
      <c r="D81" s="69" t="inlineStr">
        <is>
          <t>rodent-king</t>
        </is>
      </c>
      <c r="E81" s="69" t="inlineStr">
        <is>
          <t>Uncommon</t>
        </is>
      </c>
      <c r="F81" s="69" t="inlineStr">
        <is>
          <t>Map 12</t>
        </is>
      </c>
      <c r="G81" s="69" t="inlineStr">
        <is>
          <t>Mouse &amp; Rat</t>
        </is>
      </c>
    </row>
    <row r="82" ht="15" customHeight="1" s="39">
      <c r="A82" s="69" t="inlineStr">
        <is>
          <t>Card Pack III</t>
        </is>
      </c>
      <c r="B82" s="69" t="inlineStr">
        <is>
          <t>Map 17 (Wolfsbane Tundra)</t>
        </is>
      </c>
      <c r="C82" s="69" t="inlineStr">
        <is>
          <t>Cunning Vixen</t>
        </is>
      </c>
      <c r="D82" s="69" t="inlineStr">
        <is>
          <t>cunning-vixen</t>
        </is>
      </c>
      <c r="E82" s="69" t="inlineStr">
        <is>
          <t>Uncommon</t>
        </is>
      </c>
      <c r="F82" s="69" t="inlineStr">
        <is>
          <t>Map 12</t>
        </is>
      </c>
      <c r="G82" s="69" t="inlineStr">
        <is>
          <t>Fox</t>
        </is>
      </c>
    </row>
    <row r="83" ht="15" customHeight="1" s="39">
      <c r="A83" s="69" t="inlineStr">
        <is>
          <t>Card Pack III</t>
        </is>
      </c>
      <c r="B83" s="69" t="inlineStr">
        <is>
          <t>Map 17 (Wolfsbane Tundra)</t>
        </is>
      </c>
      <c r="C83" s="69" t="inlineStr">
        <is>
          <t>Puddle Changeling</t>
        </is>
      </c>
      <c r="D83" s="69" t="inlineStr">
        <is>
          <t>puddle-changeling</t>
        </is>
      </c>
      <c r="E83" s="69" t="inlineStr">
        <is>
          <t>Common</t>
        </is>
      </c>
      <c r="F83" s="69" t="inlineStr">
        <is>
          <t>Map 12</t>
        </is>
      </c>
      <c r="G83" s="69" t="inlineStr">
        <is>
          <t>Changeling</t>
        </is>
      </c>
    </row>
    <row r="84" ht="15" customHeight="1" s="39">
      <c r="A84" s="69" t="inlineStr">
        <is>
          <t>Card Pack III</t>
        </is>
      </c>
      <c r="B84" s="69" t="inlineStr">
        <is>
          <t>Map 17 (Wolfsbane Tundra)</t>
        </is>
      </c>
      <c r="C84" s="69" t="inlineStr">
        <is>
          <t>Quillback Elder</t>
        </is>
      </c>
      <c r="D84" s="69" t="inlineStr">
        <is>
          <t>quillback-elder</t>
        </is>
      </c>
      <c r="E84" s="69" t="inlineStr">
        <is>
          <t>Common</t>
        </is>
      </c>
      <c r="F84" s="69" t="inlineStr">
        <is>
          <t>Map 12</t>
        </is>
      </c>
      <c r="G84" s="69" t="inlineStr">
        <is>
          <t>Porcupine</t>
        </is>
      </c>
    </row>
    <row r="85" ht="15" customHeight="1" s="39">
      <c r="A85" s="69" t="inlineStr">
        <is>
          <t>Card Pack III</t>
        </is>
      </c>
      <c r="B85" s="69" t="inlineStr">
        <is>
          <t>Map 17 (Wolfsbane Tundra)</t>
        </is>
      </c>
      <c r="C85" s="69" t="inlineStr">
        <is>
          <t>Grizzly Vanguard</t>
        </is>
      </c>
      <c r="D85" s="69" t="inlineStr">
        <is>
          <t>grizzly-vanguard</t>
        </is>
      </c>
      <c r="E85" s="69" t="inlineStr">
        <is>
          <t>Common</t>
        </is>
      </c>
      <c r="F85" s="69" t="inlineStr">
        <is>
          <t>Map 13</t>
        </is>
      </c>
      <c r="G85" s="69" t="inlineStr">
        <is>
          <t>Bear</t>
        </is>
      </c>
    </row>
    <row r="86" ht="15" customHeight="1" s="39">
      <c r="A86" s="69" t="inlineStr">
        <is>
          <t>Card Pack III</t>
        </is>
      </c>
      <c r="B86" s="69" t="inlineStr">
        <is>
          <t>Map 17 (Wolfsbane Tundra)</t>
        </is>
      </c>
      <c r="C86" s="69" t="inlineStr">
        <is>
          <t>Berserker Boar</t>
        </is>
      </c>
      <c r="D86" s="69" t="inlineStr">
        <is>
          <t>berserker-boar</t>
        </is>
      </c>
      <c r="E86" s="69" t="inlineStr">
        <is>
          <t>Common</t>
        </is>
      </c>
      <c r="F86" s="69" t="inlineStr">
        <is>
          <t>Map 13</t>
        </is>
      </c>
      <c r="G86" s="69" t="inlineStr">
        <is>
          <t>Boar</t>
        </is>
      </c>
    </row>
    <row r="87" ht="15" customHeight="1" s="39">
      <c r="A87" s="69" t="inlineStr">
        <is>
          <t>Card Pack III</t>
        </is>
      </c>
      <c r="B87" s="69" t="inlineStr">
        <is>
          <t>Map 17 (Wolfsbane Tundra)</t>
        </is>
      </c>
      <c r="C87" s="69" t="inlineStr">
        <is>
          <t>Fawn Scout</t>
        </is>
      </c>
      <c r="D87" s="69" t="inlineStr">
        <is>
          <t>fawn-scout</t>
        </is>
      </c>
      <c r="E87" s="69" t="inlineStr">
        <is>
          <t>Rare</t>
        </is>
      </c>
      <c r="F87" s="69" t="inlineStr">
        <is>
          <t>Map 13</t>
        </is>
      </c>
      <c r="G87" s="69" t="inlineStr">
        <is>
          <t>Deer &amp; Elk</t>
        </is>
      </c>
    </row>
    <row r="88" ht="15" customHeight="1" s="39">
      <c r="A88" s="69" t="inlineStr">
        <is>
          <t>Card Pack III</t>
        </is>
      </c>
      <c r="B88" s="69" t="inlineStr">
        <is>
          <t>Map 17 (Wolfsbane Tundra)</t>
        </is>
      </c>
      <c r="C88" s="69" t="inlineStr">
        <is>
          <t>Stag Knight</t>
        </is>
      </c>
      <c r="D88" s="69" t="inlineStr">
        <is>
          <t>stag-knight</t>
        </is>
      </c>
      <c r="E88" s="69" t="inlineStr">
        <is>
          <t>Common</t>
        </is>
      </c>
      <c r="F88" s="69" t="inlineStr">
        <is>
          <t>Map 13</t>
        </is>
      </c>
      <c r="G88" s="69" t="inlineStr">
        <is>
          <t>Deer &amp; Elk</t>
        </is>
      </c>
    </row>
    <row r="89" ht="15" customHeight="1" s="39">
      <c r="A89" s="69" t="inlineStr">
        <is>
          <t>Card Pack III</t>
        </is>
      </c>
      <c r="B89" s="69" t="inlineStr">
        <is>
          <t>Map 17 (Wolfsbane Tundra)</t>
        </is>
      </c>
      <c r="C89" s="69" t="inlineStr">
        <is>
          <t>Marching Elephant</t>
        </is>
      </c>
      <c r="D89" s="69" t="inlineStr">
        <is>
          <t>marching-elephant</t>
        </is>
      </c>
      <c r="E89" s="69" t="inlineStr">
        <is>
          <t>Rare</t>
        </is>
      </c>
      <c r="F89" s="69" t="inlineStr">
        <is>
          <t>Map 14</t>
        </is>
      </c>
      <c r="G89" s="69" t="inlineStr">
        <is>
          <t>Big Beast</t>
        </is>
      </c>
    </row>
    <row r="90" ht="15" customHeight="1" s="39">
      <c r="A90" s="69" t="inlineStr">
        <is>
          <t>Card Pack III</t>
        </is>
      </c>
      <c r="B90" s="69" t="inlineStr">
        <is>
          <t>Map 17 (Wolfsbane Tundra)</t>
        </is>
      </c>
      <c r="C90" s="69" t="inlineStr">
        <is>
          <t>Siege Rhino</t>
        </is>
      </c>
      <c r="D90" s="69" t="inlineStr">
        <is>
          <t>siege-rhino</t>
        </is>
      </c>
      <c r="E90" s="69" t="inlineStr">
        <is>
          <t>Rare</t>
        </is>
      </c>
      <c r="F90" s="69" t="inlineStr">
        <is>
          <t>Map 14</t>
        </is>
      </c>
      <c r="G90" s="69" t="inlineStr">
        <is>
          <t>Big Beast</t>
        </is>
      </c>
    </row>
    <row r="91" ht="15" customHeight="1" s="39">
      <c r="A91" s="69" t="inlineStr">
        <is>
          <t>Card Pack III</t>
        </is>
      </c>
      <c r="B91" s="69" t="inlineStr">
        <is>
          <t>Map 17 (Wolfsbane Tundra)</t>
        </is>
      </c>
      <c r="C91" s="69" t="inlineStr">
        <is>
          <t>Dust Hyena</t>
        </is>
      </c>
      <c r="D91" s="69" t="inlineStr">
        <is>
          <t>dust-hyena</t>
        </is>
      </c>
      <c r="E91" s="69" t="inlineStr">
        <is>
          <t>Rare</t>
        </is>
      </c>
      <c r="F91" s="69" t="inlineStr">
        <is>
          <t>Map 14</t>
        </is>
      </c>
      <c r="G91" s="69" t="inlineStr">
        <is>
          <t>Jackal &amp; Hyena</t>
        </is>
      </c>
    </row>
    <row r="92" ht="15" customHeight="1" s="39">
      <c r="A92" s="69" t="inlineStr">
        <is>
          <t>Card Pack III</t>
        </is>
      </c>
      <c r="B92" s="69" t="inlineStr">
        <is>
          <t>Map 17 (Wolfsbane Tundra)</t>
        </is>
      </c>
      <c r="C92" s="69" t="inlineStr">
        <is>
          <t>Shieldbearer Hound</t>
        </is>
      </c>
      <c r="D92" s="69" t="inlineStr">
        <is>
          <t>shieldbearer-hound</t>
        </is>
      </c>
      <c r="E92" s="69" t="inlineStr">
        <is>
          <t>Rare</t>
        </is>
      </c>
      <c r="F92" s="69" t="inlineStr">
        <is>
          <t>Map 15</t>
        </is>
      </c>
      <c r="G92" s="69" t="inlineStr">
        <is>
          <t>Dog</t>
        </is>
      </c>
    </row>
    <row r="93" ht="15" customHeight="1" s="39">
      <c r="A93" s="69" t="inlineStr">
        <is>
          <t>Card Pack III</t>
        </is>
      </c>
      <c r="B93" s="69" t="inlineStr">
        <is>
          <t>Map 17 (Wolfsbane Tundra)</t>
        </is>
      </c>
      <c r="C93" s="69" t="inlineStr">
        <is>
          <t>Cataphract Destrier</t>
        </is>
      </c>
      <c r="D93" s="69" t="inlineStr">
        <is>
          <t>cataphract-destrier</t>
        </is>
      </c>
      <c r="E93" s="69" t="inlineStr">
        <is>
          <t>Common</t>
        </is>
      </c>
      <c r="F93" s="69" t="inlineStr">
        <is>
          <t>Map 15</t>
        </is>
      </c>
      <c r="G93" s="69" t="inlineStr">
        <is>
          <t>Horse</t>
        </is>
      </c>
    </row>
    <row r="94" ht="15" customHeight="1" s="39">
      <c r="A94" s="69" t="inlineStr">
        <is>
          <t>Card Pack III</t>
        </is>
      </c>
      <c r="B94" s="69" t="inlineStr">
        <is>
          <t>Map 17 (Wolfsbane Tundra)</t>
        </is>
      </c>
      <c r="C94" s="69" t="inlineStr">
        <is>
          <t>Squire's Mount</t>
        </is>
      </c>
      <c r="D94" s="69" t="inlineStr">
        <is>
          <t>squires-mount</t>
        </is>
      </c>
      <c r="E94" s="69" t="inlineStr">
        <is>
          <t>Rare</t>
        </is>
      </c>
      <c r="F94" s="69" t="inlineStr">
        <is>
          <t>Map 15</t>
        </is>
      </c>
      <c r="G94" s="69" t="inlineStr">
        <is>
          <t>Horse</t>
        </is>
      </c>
    </row>
    <row r="95" ht="15" customHeight="1" s="39">
      <c r="A95" s="69" t="inlineStr">
        <is>
          <t>Card Pack III</t>
        </is>
      </c>
      <c r="B95" s="69" t="inlineStr">
        <is>
          <t>Map 17 (Wolfsbane Tundra)</t>
        </is>
      </c>
      <c r="C95" s="69" t="inlineStr">
        <is>
          <t>Lone Grey Wolf</t>
        </is>
      </c>
      <c r="D95" s="69" t="inlineStr">
        <is>
          <t>lone-grey-wolf</t>
        </is>
      </c>
      <c r="E95" s="69" t="inlineStr">
        <is>
          <t>Rare</t>
        </is>
      </c>
      <c r="F95" s="69" t="inlineStr">
        <is>
          <t>Map 16</t>
        </is>
      </c>
      <c r="G95" s="69" t="inlineStr">
        <is>
          <t>Wolf</t>
        </is>
      </c>
    </row>
    <row r="96" ht="15" customHeight="1" s="39">
      <c r="A96" s="69" t="inlineStr">
        <is>
          <t>Card Pack III</t>
        </is>
      </c>
      <c r="B96" s="69" t="inlineStr">
        <is>
          <t>Map 17 (Wolfsbane Tundra)</t>
        </is>
      </c>
      <c r="C96" s="69" t="inlineStr">
        <is>
          <t>Lunar Howler</t>
        </is>
      </c>
      <c r="D96" s="69" t="inlineStr">
        <is>
          <t>lunar-howler</t>
        </is>
      </c>
      <c r="E96" s="69" t="inlineStr">
        <is>
          <t>Rare</t>
        </is>
      </c>
      <c r="F96" s="69" t="inlineStr">
        <is>
          <t>Map 16</t>
        </is>
      </c>
      <c r="G96" s="69" t="inlineStr">
        <is>
          <t>Wolf</t>
        </is>
      </c>
    </row>
    <row r="97" ht="15" customHeight="1" s="39">
      <c r="A97" s="69" t="inlineStr">
        <is>
          <t>Card Pack III</t>
        </is>
      </c>
      <c r="B97" s="69" t="inlineStr">
        <is>
          <t>Map 17 (Wolfsbane Tundra)</t>
        </is>
      </c>
      <c r="C97" s="69" t="inlineStr">
        <is>
          <t>Taiga Lynx</t>
        </is>
      </c>
      <c r="D97" s="69" t="inlineStr">
        <is>
          <t>taiga-lynx</t>
        </is>
      </c>
      <c r="E97" s="69" t="inlineStr">
        <is>
          <t>Rare</t>
        </is>
      </c>
      <c r="F97" s="69" t="inlineStr">
        <is>
          <t>Map 16</t>
        </is>
      </c>
      <c r="G97" s="69" t="inlineStr">
        <is>
          <t>Cat</t>
        </is>
      </c>
    </row>
    <row r="98" ht="15" customHeight="1" s="39">
      <c r="A98" s="69" t="inlineStr">
        <is>
          <t>Card Pack III</t>
        </is>
      </c>
      <c r="B98" s="69" t="inlineStr">
        <is>
          <t>Map 17 (Wolfsbane Tundra)</t>
        </is>
      </c>
      <c r="C98" s="69" t="inlineStr">
        <is>
          <t>Glacier Yak</t>
        </is>
      </c>
      <c r="D98" s="69" t="inlineStr">
        <is>
          <t>glacier-yak</t>
        </is>
      </c>
      <c r="E98" s="69" t="inlineStr">
        <is>
          <t>Common</t>
        </is>
      </c>
      <c r="F98" s="69" t="inlineStr">
        <is>
          <t>Map 17</t>
        </is>
      </c>
      <c r="G98" s="69" t="inlineStr">
        <is>
          <t>Goat &amp; Ox</t>
        </is>
      </c>
    </row>
    <row r="99" ht="15" customHeight="1" s="39">
      <c r="A99" s="69" t="inlineStr">
        <is>
          <t>Card Pack III</t>
        </is>
      </c>
      <c r="B99" s="69" t="inlineStr">
        <is>
          <t>Map 17 (Wolfsbane Tundra)</t>
        </is>
      </c>
      <c r="C99" s="69" t="inlineStr">
        <is>
          <t>Frostbitten Wolverine</t>
        </is>
      </c>
      <c r="D99" s="69" t="inlineStr">
        <is>
          <t>frostbitten-wolverine</t>
        </is>
      </c>
      <c r="E99" s="69" t="inlineStr">
        <is>
          <t>Uncommon</t>
        </is>
      </c>
      <c r="F99" s="69" t="inlineStr">
        <is>
          <t>Map 17</t>
        </is>
      </c>
      <c r="G99" s="69" t="inlineStr">
        <is>
          <t>Stoat &amp; Weasel</t>
        </is>
      </c>
    </row>
    <row r="100" ht="15" customHeight="1" s="39">
      <c r="A100" s="69" t="inlineStr">
        <is>
          <t>Card Pack III</t>
        </is>
      </c>
      <c r="B100" s="69" t="inlineStr">
        <is>
          <t>Map 17 (Wolfsbane Tundra)</t>
        </is>
      </c>
      <c r="C100" s="69" t="inlineStr">
        <is>
          <t>Yeti</t>
        </is>
      </c>
      <c r="D100" s="69" t="inlineStr">
        <is>
          <t>yeti</t>
        </is>
      </c>
      <c r="E100" s="69" t="inlineStr">
        <is>
          <t>Common</t>
        </is>
      </c>
      <c r="F100" s="69" t="inlineStr">
        <is>
          <t>Map 17</t>
        </is>
      </c>
      <c r="G100" s="69" t="inlineStr">
        <is>
          <t>Ape &amp; Monkey</t>
        </is>
      </c>
    </row>
    <row r="101" ht="15" customHeight="1" s="39">
      <c r="A101" s="69" t="inlineStr">
        <is>
          <t>Card Pack III</t>
        </is>
      </c>
      <c r="B101" s="69" t="inlineStr">
        <is>
          <t>Map 17 (Wolfsbane Tundra)</t>
        </is>
      </c>
      <c r="C101" s="69" t="inlineStr">
        <is>
          <t>Harbor Seal</t>
        </is>
      </c>
      <c r="D101" s="69" t="inlineStr">
        <is>
          <t>harbor-seal</t>
        </is>
      </c>
      <c r="E101" s="69" t="inlineStr">
        <is>
          <t>Common</t>
        </is>
      </c>
      <c r="F101" s="69" t="inlineStr">
        <is>
          <t>Biome fodder · Ice</t>
        </is>
      </c>
      <c r="G101" s="69" t="inlineStr">
        <is>
          <t>Whale &amp; Seal</t>
        </is>
      </c>
    </row>
    <row r="102" ht="15" customHeight="1" s="39">
      <c r="A102" s="69" t="inlineStr">
        <is>
          <t>Card Pack III</t>
        </is>
      </c>
      <c r="B102" s="69" t="inlineStr">
        <is>
          <t>Map 17 (Wolfsbane Tundra)</t>
        </is>
      </c>
      <c r="C102" s="69" t="inlineStr">
        <is>
          <t>Snow Ermine</t>
        </is>
      </c>
      <c r="D102" s="69" t="inlineStr">
        <is>
          <t>snow-ermine</t>
        </is>
      </c>
      <c r="E102" s="69" t="inlineStr">
        <is>
          <t>Common</t>
        </is>
      </c>
      <c r="F102" s="69" t="inlineStr">
        <is>
          <t>Biome fodder · Ice</t>
        </is>
      </c>
      <c r="G102" s="69" t="inlineStr">
        <is>
          <t>Stoat &amp; Weasel</t>
        </is>
      </c>
    </row>
    <row r="103" ht="15" customHeight="1" s="39">
      <c r="A103" s="69" t="inlineStr">
        <is>
          <t>Card Pack III</t>
        </is>
      </c>
      <c r="B103" s="69" t="inlineStr">
        <is>
          <t>Map 17 (Wolfsbane Tundra)</t>
        </is>
      </c>
      <c r="C103" s="69" t="inlineStr">
        <is>
          <t>Ice-Crevasse Wolf</t>
        </is>
      </c>
      <c r="D103" s="69" t="inlineStr">
        <is>
          <t>ice-crevasse-wolf</t>
        </is>
      </c>
      <c r="E103" s="69" t="inlineStr">
        <is>
          <t>Rare</t>
        </is>
      </c>
      <c r="F103" s="69" t="inlineStr">
        <is>
          <t>Biome fodder · Ice</t>
        </is>
      </c>
      <c r="G103" s="69" t="inlineStr">
        <is>
          <t>Wolf</t>
        </is>
      </c>
    </row>
    <row r="104" ht="15" customHeight="1" s="39">
      <c r="A104" s="69" t="inlineStr">
        <is>
          <t>Card Pack III</t>
        </is>
      </c>
      <c r="B104" s="69" t="inlineStr">
        <is>
          <t>Map 17 (Wolfsbane Tundra)</t>
        </is>
      </c>
      <c r="C104" s="69" t="inlineStr">
        <is>
          <t>Glacier Wolf Pack</t>
        </is>
      </c>
      <c r="D104" s="69" t="inlineStr">
        <is>
          <t>glacier-wolf-pack</t>
        </is>
      </c>
      <c r="E104" s="69" t="inlineStr">
        <is>
          <t>Common</t>
        </is>
      </c>
      <c r="F104" s="69" t="inlineStr">
        <is>
          <t>Biome fodder · Ice</t>
        </is>
      </c>
      <c r="G104" s="69" t="inlineStr">
        <is>
          <t>Wolf</t>
        </is>
      </c>
    </row>
    <row r="105" ht="15" customHeight="1" s="39">
      <c r="A105" s="69" t="inlineStr">
        <is>
          <t>Card Pack III</t>
        </is>
      </c>
      <c r="B105" s="69" t="inlineStr">
        <is>
          <t>Map 17 (Wolfsbane Tundra)</t>
        </is>
      </c>
      <c r="C105" s="69" t="inlineStr">
        <is>
          <t>Arctic Fox Raider</t>
        </is>
      </c>
      <c r="D105" s="69" t="inlineStr">
        <is>
          <t>arctic-fox-raider</t>
        </is>
      </c>
      <c r="E105" s="69" t="inlineStr">
        <is>
          <t>Rare</t>
        </is>
      </c>
      <c r="F105" s="69" t="inlineStr">
        <is>
          <t>Biome fodder · Ice</t>
        </is>
      </c>
      <c r="G105" s="69" t="inlineStr">
        <is>
          <t>Fox</t>
        </is>
      </c>
    </row>
    <row r="106" ht="15" customHeight="1" s="39">
      <c r="A106" s="69" t="inlineStr">
        <is>
          <t>Card Pack III</t>
        </is>
      </c>
      <c r="B106" s="69" t="inlineStr">
        <is>
          <t>Map 17 (Wolfsbane Tundra)</t>
        </is>
      </c>
      <c r="C106" s="69" t="inlineStr">
        <is>
          <t>Snowshoe Hare</t>
        </is>
      </c>
      <c r="D106" s="69" t="inlineStr">
        <is>
          <t>snowshoe-hare</t>
        </is>
      </c>
      <c r="E106" s="69" t="inlineStr">
        <is>
          <t>Common</t>
        </is>
      </c>
      <c r="F106" s="69" t="inlineStr">
        <is>
          <t>Biome fodder · Ice</t>
        </is>
      </c>
      <c r="G106" s="69" t="inlineStr">
        <is>
          <t>Rabbit &amp; Hare</t>
        </is>
      </c>
    </row>
    <row r="107" ht="15" customHeight="1" s="39">
      <c r="A107" s="69" t="inlineStr">
        <is>
          <t>Card Pack III</t>
        </is>
      </c>
      <c r="B107" s="69" t="inlineStr">
        <is>
          <t>Map 17 (Wolfsbane Tundra)</t>
        </is>
      </c>
      <c r="C107" s="69" t="inlineStr">
        <is>
          <t>Frost Thistle Lynx</t>
        </is>
      </c>
      <c r="D107" s="69" t="inlineStr">
        <is>
          <t>frost-thistle-lynx</t>
        </is>
      </c>
      <c r="E107" s="69" t="inlineStr">
        <is>
          <t>Common</t>
        </is>
      </c>
      <c r="F107" s="69" t="inlineStr">
        <is>
          <t>Biome fodder · Ice</t>
        </is>
      </c>
      <c r="G107" s="69" t="inlineStr">
        <is>
          <t>Cat</t>
        </is>
      </c>
    </row>
    <row r="108" ht="15" customHeight="1" s="39">
      <c r="A108" s="69" t="inlineStr">
        <is>
          <t>Card Pack III</t>
        </is>
      </c>
      <c r="B108" s="69" t="inlineStr">
        <is>
          <t>Map 17 (Wolfsbane Tundra)</t>
        </is>
      </c>
      <c r="C108" s="69" t="inlineStr">
        <is>
          <t>Permafrost Mammoth</t>
        </is>
      </c>
      <c r="D108" s="69" t="inlineStr">
        <is>
          <t>permafrost-mammoth</t>
        </is>
      </c>
      <c r="E108" s="69" t="inlineStr">
        <is>
          <t>Common</t>
        </is>
      </c>
      <c r="F108" s="69" t="inlineStr">
        <is>
          <t>Biome fodder · Ice</t>
        </is>
      </c>
      <c r="G108" s="69" t="inlineStr">
        <is>
          <t>Big Beast</t>
        </is>
      </c>
    </row>
    <row r="109" ht="15" customHeight="1" s="39">
      <c r="A109" s="69" t="inlineStr">
        <is>
          <t>Card Pack III</t>
        </is>
      </c>
      <c r="B109" s="69" t="inlineStr">
        <is>
          <t>Map 17 (Wolfsbane Tundra)</t>
        </is>
      </c>
      <c r="C109" s="69" t="inlineStr">
        <is>
          <t>Glacial Ape-King</t>
        </is>
      </c>
      <c r="D109" s="69" t="inlineStr">
        <is>
          <t>glacial-ape-king</t>
        </is>
      </c>
      <c r="E109" s="69" t="inlineStr">
        <is>
          <t>Common</t>
        </is>
      </c>
      <c r="F109" s="69" t="inlineStr">
        <is>
          <t>Biome fodder · Ice</t>
        </is>
      </c>
      <c r="G109" s="69" t="inlineStr">
        <is>
          <t>Ape &amp; Monkey</t>
        </is>
      </c>
    </row>
    <row r="110" ht="15" customHeight="1" s="39">
      <c r="A110" s="69" t="inlineStr">
        <is>
          <t>Card Pack III</t>
        </is>
      </c>
      <c r="B110" s="69" t="inlineStr">
        <is>
          <t>Map 17 (Wolfsbane Tundra)</t>
        </is>
      </c>
      <c r="C110" s="69" t="inlineStr">
        <is>
          <t>Quill Volley</t>
        </is>
      </c>
      <c r="D110" s="69" t="inlineStr">
        <is>
          <t>quill-volley</t>
        </is>
      </c>
      <c r="E110" s="69" t="inlineStr">
        <is>
          <t>Rare</t>
        </is>
      </c>
      <c r="F110" s="69" t="inlineStr">
        <is>
          <t>Biome fodder · Ice</t>
        </is>
      </c>
      <c r="G110" s="69" t="inlineStr">
        <is>
          <t>Porcupine</t>
        </is>
      </c>
    </row>
    <row r="111" ht="15" customHeight="1" s="39">
      <c r="A111" s="69" t="inlineStr">
        <is>
          <t>Mystery pack</t>
        </is>
      </c>
      <c r="B111" s="69" t="inlineStr">
        <is>
          <t>Map 20 side map: Eye of the Volcano</t>
        </is>
      </c>
      <c r="C111" s="69" t="inlineStr">
        <is>
          <t>Two-Headed Calf</t>
        </is>
      </c>
      <c r="D111" s="69" t="inlineStr">
        <is>
          <t>two-headed-calf</t>
        </is>
      </c>
      <c r="E111" s="69" t="inlineStr">
        <is>
          <t>Rare</t>
        </is>
      </c>
      <c r="F111" s="69" t="inlineStr">
        <is>
          <t>Mystery pack (Map 20 side map)</t>
        </is>
      </c>
      <c r="G111" s="69" t="inlineStr">
        <is>
          <t>Goat &amp; Ox</t>
        </is>
      </c>
    </row>
    <row r="112" ht="15" customHeight="1" s="39">
      <c r="A112" s="69" t="inlineStr">
        <is>
          <t>Mystery pack</t>
        </is>
      </c>
      <c r="B112" s="69" t="inlineStr">
        <is>
          <t>Map 20 side map: Eye of the Volcano</t>
        </is>
      </c>
      <c r="C112" s="69" t="inlineStr">
        <is>
          <t>Upside-Down Bat</t>
        </is>
      </c>
      <c r="D112" s="69" t="inlineStr">
        <is>
          <t>upside-down-bat</t>
        </is>
      </c>
      <c r="E112" s="69" t="inlineStr">
        <is>
          <t>Uncommon</t>
        </is>
      </c>
      <c r="F112" s="69" t="inlineStr">
        <is>
          <t>Mystery pack (Map 20 side map)</t>
        </is>
      </c>
      <c r="G112" s="69" t="inlineStr">
        <is>
          <t>Bat</t>
        </is>
      </c>
    </row>
    <row r="113" ht="15" customHeight="1" s="39">
      <c r="A113" s="69" t="inlineStr">
        <is>
          <t>Mystery pack</t>
        </is>
      </c>
      <c r="B113" s="69" t="inlineStr">
        <is>
          <t>Map 20 side map: Eye of the Volcano</t>
        </is>
      </c>
      <c r="C113" s="69" t="inlineStr">
        <is>
          <t>Teatime Toad</t>
        </is>
      </c>
      <c r="D113" s="69" t="inlineStr">
        <is>
          <t>teatime-toad</t>
        </is>
      </c>
      <c r="E113" s="69" t="inlineStr">
        <is>
          <t>Uncommon</t>
        </is>
      </c>
      <c r="F113" s="69" t="inlineStr">
        <is>
          <t>Mystery pack (Map 20 side map)</t>
        </is>
      </c>
      <c r="G113" s="69" t="inlineStr">
        <is>
          <t>Frog &amp; Toad</t>
        </is>
      </c>
    </row>
    <row r="114" ht="15" customHeight="1" s="39">
      <c r="A114" s="69" t="inlineStr">
        <is>
          <t>Mystery pack</t>
        </is>
      </c>
      <c r="B114" s="69" t="inlineStr">
        <is>
          <t>Map 20 side map: Eye of the Volcano</t>
        </is>
      </c>
      <c r="C114" s="69" t="inlineStr">
        <is>
          <t>Mirror Moth</t>
        </is>
      </c>
      <c r="D114" s="69" t="inlineStr">
        <is>
          <t>mirror-moth</t>
        </is>
      </c>
      <c r="E114" s="69" t="inlineStr">
        <is>
          <t>Rare</t>
        </is>
      </c>
      <c r="F114" s="69" t="inlineStr">
        <is>
          <t>Mystery pack (Map 20 side map)</t>
        </is>
      </c>
      <c r="G114" s="69" t="inlineStr">
        <is>
          <t>Moth &amp; Butterfly</t>
        </is>
      </c>
    </row>
    <row r="115" ht="15" customHeight="1" s="39">
      <c r="A115" s="69" t="inlineStr">
        <is>
          <t>Mystery pack</t>
        </is>
      </c>
      <c r="B115" s="69" t="inlineStr">
        <is>
          <t>Map 20 side map: Eye of the Volcano</t>
        </is>
      </c>
      <c r="C115" s="69" t="inlineStr">
        <is>
          <t>Snail Mail</t>
        </is>
      </c>
      <c r="D115" s="69" t="inlineStr">
        <is>
          <t>snail-mail</t>
        </is>
      </c>
      <c r="E115" s="69" t="inlineStr">
        <is>
          <t>Uncommon</t>
        </is>
      </c>
      <c r="F115" s="69" t="inlineStr">
        <is>
          <t>Mystery pack (Map 20 side map)</t>
        </is>
      </c>
      <c r="G115" s="69" t="inlineStr">
        <is>
          <t>Snail &amp; Slug</t>
        </is>
      </c>
    </row>
    <row r="116" ht="15" customHeight="1" s="39">
      <c r="A116" s="69" t="inlineStr">
        <is>
          <t>Mystery pack</t>
        </is>
      </c>
      <c r="B116" s="69" t="inlineStr">
        <is>
          <t>Map 20 side map: Eye of the Volcano</t>
        </is>
      </c>
      <c r="C116" s="69" t="inlineStr">
        <is>
          <t>Wrong-Way Salmon</t>
        </is>
      </c>
      <c r="D116" s="69" t="inlineStr">
        <is>
          <t>wrong-way-salmon</t>
        </is>
      </c>
      <c r="E116" s="69" t="inlineStr">
        <is>
          <t>Uncommon</t>
        </is>
      </c>
      <c r="F116" s="69" t="inlineStr">
        <is>
          <t>Mystery pack (Map 20 side map)</t>
        </is>
      </c>
      <c r="G116" s="69" t="inlineStr">
        <is>
          <t>Fish</t>
        </is>
      </c>
    </row>
    <row r="117" ht="15" customHeight="1" s="39">
      <c r="A117" s="69" t="inlineStr">
        <is>
          <t>Mystery pack</t>
        </is>
      </c>
      <c r="B117" s="69" t="inlineStr">
        <is>
          <t>Map 20 side map: Eye of the Volcano</t>
        </is>
      </c>
      <c r="C117" s="69" t="inlineStr">
        <is>
          <t>Inside-Out Hedgehog</t>
        </is>
      </c>
      <c r="D117" s="69" t="inlineStr">
        <is>
          <t>inside-out-hedgehog</t>
        </is>
      </c>
      <c r="E117" s="69" t="inlineStr">
        <is>
          <t>Uncommon</t>
        </is>
      </c>
      <c r="F117" s="69" t="inlineStr">
        <is>
          <t>Mystery pack (Map 20 side map)</t>
        </is>
      </c>
      <c r="G117" s="69" t="inlineStr">
        <is>
          <t>Hedgehog</t>
        </is>
      </c>
    </row>
  </sheetData>
  <autoFilter ref="A11:G118"/>
  <mergeCells count="1">
    <mergeCell ref="A2:G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22" customWidth="1" style="38" min="1" max="2"/>
    <col width="26" customWidth="1" style="38" min="3" max="3"/>
    <col width="9" customWidth="1" style="38" min="4" max="4"/>
    <col width="20" customWidth="1" style="38" min="5" max="5"/>
    <col width="10" customWidth="1" style="38" min="6" max="6"/>
    <col width="8" customWidth="1" style="38" min="7" max="7"/>
    <col width="7" customWidth="1" style="38" min="8" max="8"/>
    <col width="8" customWidth="1" style="38" min="9" max="10"/>
    <col width="26" customWidth="1" style="38" min="11" max="11"/>
    <col width="44" customWidth="1" style="38" min="12" max="12"/>
    <col width="90" customWidth="1" style="38" min="13" max="13"/>
  </cols>
  <sheetData>
    <row r="1" ht="17.25" customHeight="1" s="39">
      <c r="A1" s="49" t="inlineStr">
        <is>
          <t>New cards (added to canonical/cards.json, art to be made)</t>
        </is>
      </c>
    </row>
    <row r="2" ht="15" customHeight="1" s="39">
      <c r="A2" s="50" t="inlineStr">
        <is>
          <t>Each prompt starts with the house style from docs/art-style-prompts.md and always has a background. The last two rows are art redos for existing cards.</t>
        </is>
      </c>
    </row>
    <row r="4" ht="30" customHeight="1" s="39">
      <c r="A4" s="40" t="inlineStr">
        <is>
          <t>ID</t>
        </is>
      </c>
      <c r="B4" s="40" t="inlineStr">
        <is>
          <t>Name</t>
        </is>
      </c>
      <c r="C4" s="40" t="inlineStr">
        <is>
          <t>Group</t>
        </is>
      </c>
      <c r="D4" s="40" t="inlineStr">
        <is>
          <t>Map no.</t>
        </is>
      </c>
      <c r="E4" s="40" t="inlineStr">
        <is>
          <t>Animal type</t>
        </is>
      </c>
      <c r="F4" s="40" t="inlineStr">
        <is>
          <t>Rarity</t>
        </is>
      </c>
      <c r="G4" s="40" t="inlineStr">
        <is>
          <t>Lumber</t>
        </is>
      </c>
      <c r="H4" s="40" t="inlineStr">
        <is>
          <t>Wait</t>
        </is>
      </c>
      <c r="I4" s="40" t="inlineStr">
        <is>
          <t>Attack</t>
        </is>
      </c>
      <c r="J4" s="40" t="inlineStr">
        <is>
          <t>Health</t>
        </is>
      </c>
      <c r="K4" s="40" t="inlineStr">
        <is>
          <t>Skills</t>
        </is>
      </c>
      <c r="L4" s="40" t="inlineStr">
        <is>
          <t>Flavour</t>
        </is>
      </c>
      <c r="M4" s="40" t="inlineStr">
        <is>
          <t>Art prompt</t>
        </is>
      </c>
    </row>
    <row r="5" ht="68.25" customHeight="1" s="39">
      <c r="A5" s="72" t="inlineStr">
        <is>
          <t>bramble-hoglet</t>
        </is>
      </c>
      <c r="B5" s="72" t="inlineStr">
        <is>
          <t>Bramble Hoglet</t>
        </is>
      </c>
      <c r="C5" s="72" t="inlineStr">
        <is>
          <t>Map 0</t>
        </is>
      </c>
      <c r="D5" s="72" t="n"/>
      <c r="E5" s="72" t="inlineStr">
        <is>
          <t>Hedgehog</t>
        </is>
      </c>
      <c r="F5" s="72" t="inlineStr">
        <is>
          <t>Common</t>
        </is>
      </c>
      <c r="G5" s="72" t="n">
        <v>0</v>
      </c>
      <c r="H5" s="72" t="n">
        <v>0</v>
      </c>
      <c r="I5" s="72" t="n">
        <v>1</v>
      </c>
      <c r="J5" s="72" t="n">
        <v>6</v>
      </c>
      <c r="K5" s="72" t="inlineStr">
        <is>
          <t>Regeneration 1</t>
        </is>
      </c>
      <c r="L5" s="72" t="inlineStr">
        <is>
          <t>Curls up under the brambles, has a little nap, and gets up feeling much better.</t>
        </is>
      </c>
      <c r="M5"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tiny round baby hedgehog curled half into a ball under a bramble bush, one sleepy eye open, a fallen blackberry beside it; background: the edge of a sunny forest with a castle wall far behind</t>
        </is>
      </c>
    </row>
    <row r="6" ht="68.25" customHeight="1" s="39">
      <c r="A6" s="72" t="inlineStr">
        <is>
          <t>clover-butterfly</t>
        </is>
      </c>
      <c r="B6" s="72" t="inlineStr">
        <is>
          <t>Clover Butterfly</t>
        </is>
      </c>
      <c r="C6" s="72" t="inlineStr">
        <is>
          <t>Map 1</t>
        </is>
      </c>
      <c r="D6" s="72" t="n">
        <v>1</v>
      </c>
      <c r="E6" s="72" t="inlineStr">
        <is>
          <t>Moth &amp; Butterfly</t>
        </is>
      </c>
      <c r="F6" s="72" t="inlineStr">
        <is>
          <t>Common</t>
        </is>
      </c>
      <c r="G6" s="72" t="n">
        <v>0</v>
      </c>
      <c r="H6" s="72" t="n">
        <v>0</v>
      </c>
      <c r="I6" s="72" t="n">
        <v>1</v>
      </c>
      <c r="J6" s="72" t="n">
        <v>4</v>
      </c>
      <c r="K6" s="72" t="inlineStr">
        <is>
          <t>Flying, Diurnal</t>
        </is>
      </c>
      <c r="L6" s="72" t="inlineStr">
        <is>
          <t>Only comes out when the sun does. So does everyone, really, but she makes a fuss of it.</t>
        </is>
      </c>
      <c r="M6"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cheerful butterfly with clover-green and buttercup-yellow wings fluttering over a clover meadow, morning sunbeams; background: a wide clover meadow with bees and a hedgerow</t>
        </is>
      </c>
    </row>
    <row r="7" ht="79.5" customHeight="1" s="39">
      <c r="A7" s="72" t="inlineStr">
        <is>
          <t>the-gannet-queen</t>
        </is>
      </c>
      <c r="B7" s="72" t="inlineStr">
        <is>
          <t>The Gannet Queen</t>
        </is>
      </c>
      <c r="C7" s="72" t="inlineStr">
        <is>
          <t>Map 3</t>
        </is>
      </c>
      <c r="D7" s="72" t="n">
        <v>3</v>
      </c>
      <c r="E7" s="72" t="inlineStr">
        <is>
          <t>Waterbird</t>
        </is>
      </c>
      <c r="F7" s="72" t="inlineStr">
        <is>
          <t>Heroic</t>
        </is>
      </c>
      <c r="G7" s="72" t="n">
        <v>2</v>
      </c>
      <c r="H7" s="72" t="n">
        <v>2</v>
      </c>
      <c r="I7" s="72" t="n">
        <v>4</v>
      </c>
      <c r="J7" s="72" t="n">
        <v>14</v>
      </c>
      <c r="K7" s="72" t="inlineStr">
        <is>
          <t>Flying, Pounce 2</t>
        </is>
      </c>
      <c r="L7" s="72" t="inlineStr">
        <is>
          <t>Every ledge on the cliffs is hers. She lets the gulls borrow a few.</t>
        </is>
      </c>
      <c r="M7"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proud white gannet queen with a butter-yellow head and sky-blue eye rings, wearing a crown of braided sea-grass and a shell necklace, wings half open on a cliff ledge; background: sheer white sea cliffs crowded with nesting birds above a blue sea</t>
        </is>
      </c>
    </row>
    <row r="8" ht="79.5" customHeight="1" s="39">
      <c r="A8" s="72" t="inlineStr">
        <is>
          <t>old-snapjaw</t>
        </is>
      </c>
      <c r="B8" s="72" t="inlineStr">
        <is>
          <t>Old Snapjaw</t>
        </is>
      </c>
      <c r="C8" s="72" t="inlineStr">
        <is>
          <t>Map 5</t>
        </is>
      </c>
      <c r="D8" s="72" t="n">
        <v>5</v>
      </c>
      <c r="E8" s="72" t="inlineStr">
        <is>
          <t>Crocodile</t>
        </is>
      </c>
      <c r="F8" s="72" t="inlineStr">
        <is>
          <t>Heroic</t>
        </is>
      </c>
      <c r="G8" s="72" t="n">
        <v>2</v>
      </c>
      <c r="H8" s="72" t="n">
        <v>3</v>
      </c>
      <c r="I8" s="72" t="n">
        <v>5</v>
      </c>
      <c r="J8" s="72" t="n">
        <v>24</v>
      </c>
      <c r="K8" s="72" t="inlineStr">
        <is>
          <t>Bleed 1, Armor 1</t>
        </is>
      </c>
      <c r="L8" s="72" t="inlineStr">
        <is>
          <t>Older than the swamp has a name for. He has never once been in a hurry, and never once missed.</t>
        </is>
      </c>
      <c r="M8"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an enormous old crocodile chieftain with a mossy back, a lily-pad crown and a necklace of river pebbles, half out of green water with a knowing grin; background: a warm green swamp with cypress roots and fireflies</t>
        </is>
      </c>
    </row>
    <row r="9" ht="68.25" customHeight="1" s="39">
      <c r="A9" s="72" t="inlineStr">
        <is>
          <t>alpine-marmot</t>
        </is>
      </c>
      <c r="B9" s="72" t="inlineStr">
        <is>
          <t>Alpine Marmot</t>
        </is>
      </c>
      <c r="C9" s="72" t="inlineStr">
        <is>
          <t>Map 11</t>
        </is>
      </c>
      <c r="D9" s="72" t="n">
        <v>11</v>
      </c>
      <c r="E9" s="72" t="inlineStr">
        <is>
          <t>Chipmunk &amp; Squirrel</t>
        </is>
      </c>
      <c r="F9" s="72" t="inlineStr">
        <is>
          <t>Common</t>
        </is>
      </c>
      <c r="G9" s="72" t="n">
        <v>0</v>
      </c>
      <c r="H9" s="72" t="n">
        <v>1</v>
      </c>
      <c r="I9" s="72" t="n">
        <v>2</v>
      </c>
      <c r="J9" s="72" t="n">
        <v>8</v>
      </c>
      <c r="K9" s="72" t="inlineStr">
        <is>
          <t>Guardian</t>
        </is>
      </c>
      <c r="L9" s="72" t="inlineStr">
        <is>
          <t>One whistle and the whole burrow is safe. It whistles a lot.</t>
        </is>
      </c>
      <c r="M9"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chubby alpine marmot standing tall on a rock, paws up, whistling a warning to its family behind it; background: alpine meadow flowers, grey cliffs and a big eagle nest high above</t>
        </is>
      </c>
    </row>
    <row r="10" ht="68.25" customHeight="1" s="39">
      <c r="A10" s="72" t="inlineStr">
        <is>
          <t>meerkat-burrower</t>
        </is>
      </c>
      <c r="B10" s="72" t="inlineStr">
        <is>
          <t>Meerkat Burrower</t>
        </is>
      </c>
      <c r="C10" s="72" t="inlineStr">
        <is>
          <t>Map 18</t>
        </is>
      </c>
      <c r="D10" s="72" t="n">
        <v>18</v>
      </c>
      <c r="E10" s="72" t="inlineStr">
        <is>
          <t>Meerkat</t>
        </is>
      </c>
      <c r="F10" s="72" t="inlineStr">
        <is>
          <t>Common</t>
        </is>
      </c>
      <c r="G10" s="72" t="n">
        <v>1</v>
      </c>
      <c r="H10" s="72" t="n">
        <v>1</v>
      </c>
      <c r="I10" s="72" t="n">
        <v>2</v>
      </c>
      <c r="J10" s="72" t="n">
        <v>8</v>
      </c>
      <c r="K10" s="72" t="inlineStr">
        <is>
          <t>Dry, Darksight</t>
        </is>
      </c>
      <c r="L10" s="72" t="inlineStr">
        <is>
          <t>Digs the tunnel, then digs another tunnel in case the first one gets ideas.</t>
        </is>
      </c>
      <c r="M10"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busy meerkat digging a burrow, sand flying from its paws, a little mining lamp hat on its head; background: golden desert dunes and a glassy sand ridge under a hot sky</t>
        </is>
      </c>
    </row>
    <row r="11" ht="68.25" customHeight="1" s="39">
      <c r="A11" s="72" t="inlineStr">
        <is>
          <t>moon-jelly</t>
        </is>
      </c>
      <c r="B11" s="72" t="inlineStr">
        <is>
          <t>Moon Jelly</t>
        </is>
      </c>
      <c r="C11" s="72" t="inlineStr">
        <is>
          <t>Biome fodder · Ocean</t>
        </is>
      </c>
      <c r="D11" s="72" t="inlineStr">
        <is>
          <t>4, 9, 10</t>
        </is>
      </c>
      <c r="E11" s="72" t="inlineStr">
        <is>
          <t>Coral &amp; Jelly</t>
        </is>
      </c>
      <c r="F11" s="72" t="inlineStr">
        <is>
          <t>Common</t>
        </is>
      </c>
      <c r="G11" s="72" t="n">
        <v>0</v>
      </c>
      <c r="H11" s="72" t="n">
        <v>1</v>
      </c>
      <c r="I11" s="72" t="n">
        <v>1</v>
      </c>
      <c r="J11" s="72" t="n">
        <v>7</v>
      </c>
      <c r="K11" s="72" t="inlineStr">
        <is>
          <t>Tide, Poison 1</t>
        </is>
      </c>
      <c r="L11" s="72" t="inlineStr">
        <is>
          <t>Drifts where the current goes. The current is very sorry about this.</t>
        </is>
      </c>
      <c r="M11"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glowing translucent moon jellyfish with four soft pink rings, drifting with gentle trailing frills; background: a deep blue open sea with sun rays from above and a coral reef far below</t>
        </is>
      </c>
    </row>
    <row r="12" ht="68.25" customHeight="1" s="39">
      <c r="A12" s="72" t="inlineStr">
        <is>
          <t>lions-mane-jelly</t>
        </is>
      </c>
      <c r="B12" s="72" t="inlineStr">
        <is>
          <t>Lion's Mane Jelly</t>
        </is>
      </c>
      <c r="C12" s="72" t="inlineStr">
        <is>
          <t>Biome fodder · Ocean</t>
        </is>
      </c>
      <c r="D12" s="72" t="inlineStr">
        <is>
          <t>4, 9, 10</t>
        </is>
      </c>
      <c r="E12" s="72" t="inlineStr">
        <is>
          <t>Coral &amp; Jelly</t>
        </is>
      </c>
      <c r="F12" s="72" t="inlineStr">
        <is>
          <t>Uncommon</t>
        </is>
      </c>
      <c r="G12" s="72" t="n">
        <v>1</v>
      </c>
      <c r="H12" s="72" t="n">
        <v>2</v>
      </c>
      <c r="I12" s="72" t="n">
        <v>3</v>
      </c>
      <c r="J12" s="72" t="n">
        <v>13</v>
      </c>
      <c r="K12" s="72" t="inlineStr">
        <is>
          <t>Tide, Poison 2</t>
        </is>
      </c>
      <c r="L12" s="72" t="inlineStr">
        <is>
          <t>Its tail is longer than a ferry. Nobody has ever found the end of it on purpose.</t>
        </is>
      </c>
      <c r="M12"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huge golden-orange lion's mane jellyfish with a fluffy bell and very long flowing tentacles, a few small fish keeping a polite distance; background: a dark open sea with a sunken otter ferry in the distance</t>
        </is>
      </c>
    </row>
    <row r="13" ht="68.25" customHeight="1" s="39">
      <c r="A13" s="72" t="inlineStr">
        <is>
          <t>caiman-hatchling</t>
        </is>
      </c>
      <c r="B13" s="72" t="inlineStr">
        <is>
          <t>Caiman Hatchling</t>
        </is>
      </c>
      <c r="C13" s="72" t="inlineStr">
        <is>
          <t>Biome fodder · Swamp</t>
        </is>
      </c>
      <c r="D13" s="72" t="inlineStr">
        <is>
          <t>5, 6</t>
        </is>
      </c>
      <c r="E13" s="72" t="inlineStr">
        <is>
          <t>Crocodile</t>
        </is>
      </c>
      <c r="F13" s="72" t="inlineStr">
        <is>
          <t>Common</t>
        </is>
      </c>
      <c r="G13" s="72" t="n">
        <v>0</v>
      </c>
      <c r="H13" s="72" t="n">
        <v>0</v>
      </c>
      <c r="I13" s="72" t="n">
        <v>2</v>
      </c>
      <c r="J13" s="72" t="n">
        <v>5</v>
      </c>
      <c r="K13" s="72" t="inlineStr">
        <is>
          <t>Quick</t>
        </is>
      </c>
      <c r="L13" s="72" t="inlineStr">
        <is>
          <t>Small, fast and absolutely certain it is the biggest thing in the swamp.</t>
        </is>
      </c>
      <c r="M13"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bright-eyed caiman hatchling snapping playfully at a dragonfly, egg shell still on its head; background: a warm swamp bank with reeds, lily pads and mangrove roots</t>
        </is>
      </c>
    </row>
    <row r="14" ht="68.25" customHeight="1" s="39">
      <c r="A14" s="72" t="inlineStr">
        <is>
          <t>mudpuppy</t>
        </is>
      </c>
      <c r="B14" s="72" t="inlineStr">
        <is>
          <t>Mudpuppy</t>
        </is>
      </c>
      <c r="C14" s="72" t="inlineStr">
        <is>
          <t>Biome fodder · Swamp</t>
        </is>
      </c>
      <c r="D14" s="72" t="inlineStr">
        <is>
          <t>5, 6</t>
        </is>
      </c>
      <c r="E14" s="72" t="inlineStr">
        <is>
          <t>Newt &amp; Salamander</t>
        </is>
      </c>
      <c r="F14" s="72" t="inlineStr">
        <is>
          <t>Common</t>
        </is>
      </c>
      <c r="G14" s="72" t="n">
        <v>0</v>
      </c>
      <c r="H14" s="72" t="n">
        <v>1</v>
      </c>
      <c r="I14" s="72" t="n">
        <v>2</v>
      </c>
      <c r="J14" s="72" t="n">
        <v>9</v>
      </c>
      <c r="K14" s="72" t="inlineStr">
        <is>
          <t>Regeneration 1, Swimmer</t>
        </is>
      </c>
      <c r="L14" s="72" t="inlineStr">
        <is>
          <t>Feathery gills, a permanent smile, and mud everywhere.</t>
        </is>
      </c>
      <c r="M14"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friendly mudpuppy salamander with frilly red feathery gills and a wide smile, resting in shallow muddy water; background: a misty swamp with cypress trees and floating duckweed</t>
        </is>
      </c>
    </row>
    <row r="15" ht="68.25" customHeight="1" s="39">
      <c r="A15" s="72" t="inlineStr">
        <is>
          <t>harbor-seal</t>
        </is>
      </c>
      <c r="B15" s="72" t="inlineStr">
        <is>
          <t>Harbor Seal</t>
        </is>
      </c>
      <c r="C15" s="72" t="inlineStr">
        <is>
          <t>Biome fodder · Ice</t>
        </is>
      </c>
      <c r="D15" s="72" t="inlineStr">
        <is>
          <t>17</t>
        </is>
      </c>
      <c r="E15" s="72" t="inlineStr">
        <is>
          <t>Whale &amp; Seal</t>
        </is>
      </c>
      <c r="F15" s="72" t="inlineStr">
        <is>
          <t>Common</t>
        </is>
      </c>
      <c r="G15" s="72" t="n">
        <v>1</v>
      </c>
      <c r="H15" s="72" t="n">
        <v>1</v>
      </c>
      <c r="I15" s="72" t="n">
        <v>3</v>
      </c>
      <c r="J15" s="72" t="n">
        <v>11</v>
      </c>
      <c r="K15" s="72" t="inlineStr">
        <is>
          <t>Swimmer, Evasive</t>
        </is>
      </c>
      <c r="L15" s="72" t="inlineStr">
        <is>
          <t>Slips off the ice the moment you aim at it, and slides back on looking very pleased.</t>
        </is>
      </c>
      <c r="M15"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round spotted harbor seal sliding on a sheet of ice with a happy face, whiskers frosted; background: a frozen tundra shore with ice floes and snowy pine hills under a pale sky</t>
        </is>
      </c>
    </row>
    <row r="16" ht="68.25" customHeight="1" s="39">
      <c r="A16" s="72" t="inlineStr">
        <is>
          <t>snow-ermine</t>
        </is>
      </c>
      <c r="B16" s="72" t="inlineStr">
        <is>
          <t>Snow Ermine</t>
        </is>
      </c>
      <c r="C16" s="72" t="inlineStr">
        <is>
          <t>Biome fodder · Ice</t>
        </is>
      </c>
      <c r="D16" s="72" t="inlineStr">
        <is>
          <t>17</t>
        </is>
      </c>
      <c r="E16" s="72" t="inlineStr">
        <is>
          <t>Stoat &amp; Weasel</t>
        </is>
      </c>
      <c r="F16" s="72" t="inlineStr">
        <is>
          <t>Common</t>
        </is>
      </c>
      <c r="G16" s="72" t="n">
        <v>0</v>
      </c>
      <c r="H16" s="72" t="n">
        <v>0</v>
      </c>
      <c r="I16" s="72" t="n">
        <v>2</v>
      </c>
      <c r="J16" s="72" t="n">
        <v>5</v>
      </c>
      <c r="K16" s="72" t="inlineStr">
        <is>
          <t>Evasive</t>
        </is>
      </c>
      <c r="L16" s="72" t="inlineStr">
        <is>
          <t>White as the snow, except for the tail, which it cannot do anything about.</t>
        </is>
      </c>
      <c r="M16"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slim white ermine in its winter coat with a black tail tip, popping out of a snowdrift mid-hop; background: a snowy tundra with blue ice rocks and a wolf pack far in the distance</t>
        </is>
      </c>
    </row>
    <row r="17" ht="68.25" customHeight="1" s="39">
      <c r="A17" s="72" t="inlineStr">
        <is>
          <t>ember-centipede</t>
        </is>
      </c>
      <c r="B17" s="72" t="inlineStr">
        <is>
          <t>Ember Centipede</t>
        </is>
      </c>
      <c r="C17" s="72" t="inlineStr">
        <is>
          <t>Biome fodder · Volcano</t>
        </is>
      </c>
      <c r="D17" s="72" t="inlineStr">
        <is>
          <t>19, 20</t>
        </is>
      </c>
      <c r="E17" s="72" t="inlineStr">
        <is>
          <t>Centipede</t>
        </is>
      </c>
      <c r="F17" s="72" t="inlineStr">
        <is>
          <t>Common</t>
        </is>
      </c>
      <c r="G17" s="72" t="n">
        <v>0</v>
      </c>
      <c r="H17" s="72" t="n">
        <v>1</v>
      </c>
      <c r="I17" s="72" t="n">
        <v>2</v>
      </c>
      <c r="J17" s="72" t="n">
        <v>7</v>
      </c>
      <c r="K17" s="72" t="inlineStr">
        <is>
          <t>Quick, Dry</t>
        </is>
      </c>
      <c r="L17" s="72" t="inlineStr">
        <is>
          <t>Its legs glow orange from walking on warm stone. It has never once been cold.</t>
        </is>
      </c>
      <c r="M17"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long centipede with glowing orange leg tips and dark basalt-coloured segments, scurrying over warm black rock; background: a volcanic slope with glowing lava cracks and drifting ash</t>
        </is>
      </c>
    </row>
    <row r="18" ht="68.25" customHeight="1" s="39">
      <c r="A18" s="72" t="inlineStr">
        <is>
          <t>cinder-gecko</t>
        </is>
      </c>
      <c r="B18" s="72" t="inlineStr">
        <is>
          <t>Cinder Gecko</t>
        </is>
      </c>
      <c r="C18" s="72" t="inlineStr">
        <is>
          <t>Biome fodder · Volcano</t>
        </is>
      </c>
      <c r="D18" s="72" t="inlineStr">
        <is>
          <t>19, 20</t>
        </is>
      </c>
      <c r="E18" s="72" t="inlineStr">
        <is>
          <t>Lizard</t>
        </is>
      </c>
      <c r="F18" s="72" t="inlineStr">
        <is>
          <t>Common</t>
        </is>
      </c>
      <c r="G18" s="72" t="n">
        <v>0</v>
      </c>
      <c r="H18" s="72" t="n">
        <v>0</v>
      </c>
      <c r="I18" s="72" t="n">
        <v>2</v>
      </c>
      <c r="J18" s="72" t="n">
        <v>4</v>
      </c>
      <c r="K18" s="72" t="inlineStr">
        <is>
          <t>Evasive, Dry</t>
        </is>
      </c>
      <c r="L18" s="72" t="inlineStr">
        <is>
          <t>Sticks to any wall, even the hot ones. Especially the hot ones.</t>
        </is>
      </c>
      <c r="M18"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charcoal-grey gecko with ember-orange spots clinging upside down to a warm rock wall, big happy eyes; background: a glowing volcanic cave mouth with lava light</t>
        </is>
      </c>
    </row>
    <row r="19" ht="68.25" customHeight="1" s="39">
      <c r="A19" s="72" t="inlineStr">
        <is>
          <t>ash-moth</t>
        </is>
      </c>
      <c r="B19" s="72" t="inlineStr">
        <is>
          <t>Ash Moth</t>
        </is>
      </c>
      <c r="C19" s="72" t="inlineStr">
        <is>
          <t>Biome fodder · Volcano</t>
        </is>
      </c>
      <c r="D19" s="72" t="inlineStr">
        <is>
          <t>19, 20</t>
        </is>
      </c>
      <c r="E19" s="72" t="inlineStr">
        <is>
          <t>Moth &amp; Butterfly</t>
        </is>
      </c>
      <c r="F19" s="72" t="inlineStr">
        <is>
          <t>Common</t>
        </is>
      </c>
      <c r="G19" s="72" t="n">
        <v>1</v>
      </c>
      <c r="H19" s="72" t="n">
        <v>0</v>
      </c>
      <c r="I19" s="72" t="n">
        <v>2</v>
      </c>
      <c r="J19" s="72" t="n">
        <v>6</v>
      </c>
      <c r="K19" s="72" t="inlineStr">
        <is>
          <t>Flying, Nocturnal</t>
        </is>
      </c>
      <c r="L19" s="72" t="inlineStr">
        <is>
          <t>Grey as ash and drawn to the glow. It thinks the volcano is the biggest lantern in the world.</t>
        </is>
      </c>
      <c r="M19"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fluffy ash-grey moth with faint ember-red wing spots flying towards a glowing light at night; background: a dark volcanic peak with a soft lava glow and drifting ash flakes</t>
        </is>
      </c>
    </row>
    <row r="20" ht="68.25" customHeight="1" s="39">
      <c r="A20" s="72" t="inlineStr">
        <is>
          <t>cave-olm</t>
        </is>
      </c>
      <c r="B20" s="72" t="inlineStr">
        <is>
          <t>Cave Olm</t>
        </is>
      </c>
      <c r="C20" s="72" t="inlineStr">
        <is>
          <t>Biome fodder · Cave</t>
        </is>
      </c>
      <c r="D20" s="72" t="inlineStr">
        <is>
          <t>8</t>
        </is>
      </c>
      <c r="E20" s="72" t="inlineStr">
        <is>
          <t>Newt &amp; Salamander</t>
        </is>
      </c>
      <c r="F20" s="72" t="inlineStr">
        <is>
          <t>Common</t>
        </is>
      </c>
      <c r="G20" s="72" t="n">
        <v>0</v>
      </c>
      <c r="H20" s="72" t="n">
        <v>1</v>
      </c>
      <c r="I20" s="72" t="n">
        <v>1</v>
      </c>
      <c r="J20" s="72" t="n">
        <v>9</v>
      </c>
      <c r="K20" s="72" t="inlineStr">
        <is>
          <t>Darksight, Regeneration 1</t>
        </is>
      </c>
      <c r="L20" s="72" t="inlineStr">
        <is>
          <t>Has lived in the dark so long it forgot it had eyes. It does not miss them.</t>
        </is>
      </c>
      <c r="M20"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pale pink cave olm salamander with tiny frilly gills swimming in a still underground pool, glowworms twinkling above; background: a dark cave with glowing crystals and a shimmering pool</t>
        </is>
      </c>
    </row>
    <row r="21" ht="68.25" customHeight="1" s="39">
      <c r="A21" s="72" t="inlineStr">
        <is>
          <t>glimmer-spider</t>
        </is>
      </c>
      <c r="B21" s="72" t="inlineStr">
        <is>
          <t>Glimmer Spider</t>
        </is>
      </c>
      <c r="C21" s="72" t="inlineStr">
        <is>
          <t>Biome fodder · Cave</t>
        </is>
      </c>
      <c r="D21" s="72" t="inlineStr">
        <is>
          <t>8</t>
        </is>
      </c>
      <c r="E21" s="72" t="inlineStr">
        <is>
          <t>Spider &amp; Scorpion</t>
        </is>
      </c>
      <c r="F21" s="72" t="inlineStr">
        <is>
          <t>Uncommon</t>
        </is>
      </c>
      <c r="G21" s="72" t="n">
        <v>1</v>
      </c>
      <c r="H21" s="72" t="n">
        <v>1</v>
      </c>
      <c r="I21" s="72" t="n">
        <v>3</v>
      </c>
      <c r="J21" s="72" t="n">
        <v>9</v>
      </c>
      <c r="K21" s="72" t="inlineStr">
        <is>
          <t>Darksight, Poison 1</t>
        </is>
      </c>
      <c r="L21" s="72" t="inlineStr">
        <is>
          <t>Spins its web out of the shiny bits. Things that like shiny things come to look.</t>
        </is>
      </c>
      <c r="M21"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round spider with glittering crystal-blue markings sitting in a sparkling web strung between cave crystals; background: a cave of glowing crystals in teal and violet</t>
        </is>
      </c>
    </row>
    <row r="22" ht="68.25" customHeight="1" s="39">
      <c r="A22" s="72" t="inlineStr">
        <is>
          <t>field-crow</t>
        </is>
      </c>
      <c r="B22" s="72" t="inlineStr">
        <is>
          <t>Field Crow</t>
        </is>
      </c>
      <c r="C22" s="72" t="inlineStr">
        <is>
          <t>Base</t>
        </is>
      </c>
      <c r="D22" s="72" t="n"/>
      <c r="E22" s="72" t="inlineStr">
        <is>
          <t>Raven &amp; Crow</t>
        </is>
      </c>
      <c r="F22" s="72" t="inlineStr">
        <is>
          <t>Common</t>
        </is>
      </c>
      <c r="G22" s="72" t="n">
        <v>0</v>
      </c>
      <c r="H22" s="72" t="n">
        <v>0</v>
      </c>
      <c r="I22" s="72" t="n">
        <v>2</v>
      </c>
      <c r="J22" s="72" t="n">
        <v>4</v>
      </c>
      <c r="K22" s="72" t="inlineStr">
        <is>
          <t>Flying</t>
        </is>
      </c>
      <c r="L22" s="72" t="inlineStr">
        <is>
          <t>Comes for the seeds, stays for the gossip.</t>
        </is>
      </c>
      <c r="M22" s="72"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glossy black crow with a curious tilted head standing on a fence post, a few stolen seeds in its beak; background: golden farm fields and a red barn on a sunny afternoon</t>
        </is>
      </c>
    </row>
    <row r="23" ht="79.5" customHeight="1" s="39">
      <c r="A23" s="73" t="inlineStr">
        <is>
          <t>puddle-changeling</t>
        </is>
      </c>
      <c r="B23" s="73" t="inlineStr">
        <is>
          <t>Puddle Changeling</t>
        </is>
      </c>
      <c r="C23" s="73" t="inlineStr">
        <is>
          <t>Map 12 (existing card)</t>
        </is>
      </c>
      <c r="D23" s="73" t="n">
        <v>12</v>
      </c>
      <c r="E23" s="73" t="inlineStr">
        <is>
          <t>Changeling</t>
        </is>
      </c>
      <c r="F23" s="73" t="inlineStr">
        <is>
          <t>Common</t>
        </is>
      </c>
      <c r="G23" s="73" t="n">
        <v>0</v>
      </c>
      <c r="H23" s="73" t="n">
        <v>0</v>
      </c>
      <c r="I23" s="73" t="n">
        <v>2</v>
      </c>
      <c r="J23" s="73" t="n">
        <v>5</v>
      </c>
      <c r="K23" s="73" t="inlineStr">
        <is>
          <t>Changeling</t>
        </is>
      </c>
      <c r="L23" s="73" t="inlineStr">
        <is>
          <t>Art redo: looking into the river at its own reflection</t>
        </is>
      </c>
      <c r="M23" s="73"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grey-green shapeshifting creature of no clear kind, half frog, half puddle, crouched on a mossy riverbank and peering down into the river at its own reflection, and the reflection shows a slightly different animal; gentle curious expression; background: a quiet river at dusk with reeds and lily pads, soft ripples</t>
        </is>
      </c>
    </row>
    <row r="24" ht="79.5" customHeight="1" s="39">
      <c r="A24" s="73" t="inlineStr">
        <is>
          <t>bee-knight</t>
        </is>
      </c>
      <c r="B24" s="73" t="inlineStr">
        <is>
          <t>Bee Knight</t>
        </is>
      </c>
      <c r="C24" s="73" t="inlineStr">
        <is>
          <t>Base (existing card)</t>
        </is>
      </c>
      <c r="D24" s="73" t="n"/>
      <c r="E24" s="73" t="inlineStr">
        <is>
          <t>Bee &amp; Wasp</t>
        </is>
      </c>
      <c r="F24" s="73" t="inlineStr">
        <is>
          <t>Uncommon</t>
        </is>
      </c>
      <c r="G24" s="73" t="n">
        <v>0</v>
      </c>
      <c r="H24" s="73" t="n">
        <v>0</v>
      </c>
      <c r="I24" s="73" t="n">
        <v>1</v>
      </c>
      <c r="J24" s="73" t="n">
        <v>3</v>
      </c>
      <c r="K24" s="73" t="inlineStr">
        <is>
          <t>Flying, Swarm, Diurnal</t>
        </is>
      </c>
      <c r="L24" s="73" t="inlineStr">
        <is>
          <t>Art redo: a fresh Bee Knight portrait</t>
        </is>
      </c>
      <c r="M24" s="73"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round bumblebee knight with a shiny acorn-cap helmet and a flower-petal cape, standing proudly on a clover blossom with its chest puffed out, tiny wings buzzing; background: a sunny clover meadow by a hedgerow, with a castle tower far behind</t>
        </is>
      </c>
    </row>
    <row r="25" ht="90" customHeight="1" s="39">
      <c r="A25" s="61" t="inlineStr">
        <is>
          <t>rafflesia</t>
        </is>
      </c>
      <c r="B25" s="61" t="inlineStr">
        <is>
          <t>Rafflesia</t>
        </is>
      </c>
      <c r="C25" s="61" t="inlineStr">
        <is>
          <t>Design (not placed, 2026-10-14)</t>
        </is>
      </c>
      <c r="D25" s="61" t="n"/>
      <c r="E25" s="61" t="inlineStr">
        <is>
          <t>Flower</t>
        </is>
      </c>
      <c r="F25" s="61" t="inlineStr">
        <is>
          <t>Rare</t>
        </is>
      </c>
      <c r="G25" s="61" t="n">
        <v>1</v>
      </c>
      <c r="H25" s="61" t="n">
        <v>0</v>
      </c>
      <c r="I25" s="61" t="n">
        <v>0</v>
      </c>
      <c r="J25" s="61" t="n">
        <v>13</v>
      </c>
      <c r="K25" s="61" t="inlineStr">
        <is>
          <t>Custom trigger</t>
        </is>
      </c>
      <c r="L25" s="61" t="inlineStr">
        <is>
          <t>The biggest flower in the forest, and it smells like a week-old carcass. Whatever stands across from it slowly loses the will to fight.</t>
        </is>
      </c>
      <c r="M25" s="61"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huge red rafflesia flower with white warts sprawled on the rainforest floor, a faint green stink haze rising from it, flies circling; background: dark rainforest undergrowth with hanging vines</t>
        </is>
      </c>
    </row>
    <row r="26" ht="90" customHeight="1" s="39">
      <c r="A26" s="61" t="inlineStr">
        <is>
          <t>puffball-bombardier</t>
        </is>
      </c>
      <c r="B26" s="61" t="inlineStr">
        <is>
          <t>Puffball Bombardier</t>
        </is>
      </c>
      <c r="C26" s="61" t="inlineStr">
        <is>
          <t>Design (not placed, 2026-10-14)</t>
        </is>
      </c>
      <c r="D26" s="61" t="n"/>
      <c r="E26" s="61" t="inlineStr">
        <is>
          <t>Fungus</t>
        </is>
      </c>
      <c r="F26" s="61" t="inlineStr">
        <is>
          <t>Uncommon</t>
        </is>
      </c>
      <c r="G26" s="61" t="n">
        <v>0</v>
      </c>
      <c r="H26" s="61" t="n">
        <v>1</v>
      </c>
      <c r="I26" s="61" t="n">
        <v>1</v>
      </c>
      <c r="J26" s="61" t="n">
        <v>8</v>
      </c>
      <c r="K26" s="61" t="inlineStr">
        <is>
          <t>Arrow 1, Poison 1</t>
        </is>
      </c>
      <c r="L26" s="61" t="inlineStr">
        <is>
          <t>Lobs spore puffs over the line every round. Whatever breathes them in starts to feel poorly.</t>
        </is>
      </c>
      <c r="M26" s="61"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round puffball mushroom with a stubby cap-helmet bursting a cloud of spores like a mortar shot; background: a glowing mushroom forest in a cave</t>
        </is>
      </c>
    </row>
    <row r="27" ht="90" customHeight="1" s="39">
      <c r="A27" s="61" t="inlineStr">
        <is>
          <t>otter-angler</t>
        </is>
      </c>
      <c r="B27" s="61" t="inlineStr">
        <is>
          <t>Otter Angler</t>
        </is>
      </c>
      <c r="C27" s="61" t="inlineStr">
        <is>
          <t>Design (not placed, 2026-10-14)</t>
        </is>
      </c>
      <c r="D27" s="61" t="n"/>
      <c r="E27" s="61" t="inlineStr">
        <is>
          <t>Otter</t>
        </is>
      </c>
      <c r="F27" s="61" t="inlineStr">
        <is>
          <t>Common</t>
        </is>
      </c>
      <c r="G27" s="61" t="n">
        <v>0</v>
      </c>
      <c r="H27" s="61" t="n">
        <v>1</v>
      </c>
      <c r="I27" s="61" t="n">
        <v>1</v>
      </c>
      <c r="J27" s="61" t="n">
        <v>7</v>
      </c>
      <c r="K27" s="61" t="inlineStr">
        <is>
          <t>Swimmer, Custom trigger</t>
        </is>
      </c>
      <c r="L27" s="61" t="inlineStr">
        <is>
          <t>Sits on the weir with a willow rod and a lot of patience. Comes home with supper, and something to trade for it.</t>
        </is>
      </c>
      <c r="M27" s="61"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an otter sitting on a wooden weir with a willow fishing rod, a fish on the line, a little basket beside it; background: a calm river at dawn with reeds</t>
        </is>
      </c>
    </row>
    <row r="28" ht="90" customHeight="1" s="39">
      <c r="A28" s="61" t="inlineStr">
        <is>
          <t>honeyjoe-brewer</t>
        </is>
      </c>
      <c r="B28" s="61" t="inlineStr">
        <is>
          <t>Honeyjoe Brewer</t>
        </is>
      </c>
      <c r="C28" s="61" t="inlineStr">
        <is>
          <t>Design (not placed, 2026-10-14)</t>
        </is>
      </c>
      <c r="D28" s="61" t="n"/>
      <c r="E28" s="61" t="inlineStr">
        <is>
          <t>Hummingbird</t>
        </is>
      </c>
      <c r="F28" s="61" t="inlineStr">
        <is>
          <t>Uncommon</t>
        </is>
      </c>
      <c r="G28" s="61" t="n">
        <v>0</v>
      </c>
      <c r="H28" s="61" t="n">
        <v>0</v>
      </c>
      <c r="I28" s="61" t="n">
        <v>1</v>
      </c>
      <c r="J28" s="61" t="n">
        <v>5</v>
      </c>
      <c r="K28" s="61" t="inlineStr">
        <is>
          <t>Flying, Coffee, Kinship</t>
        </is>
      </c>
      <c r="L28" s="61" t="inlineStr">
        <is>
          <t>Brews honeyjoe with the bees every dawn: nectar, a splash of honey, far too much coffee. The whole hive buzzes for hours.</t>
        </is>
      </c>
      <c r="M28" s="61" t="inlineStr">
        <is>
          <t>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hummingbird in a tiny apron hovering over a steaming acorn-cup of coffee, pouring honey with two bees helping; background: a flowering hive garden in the morning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E4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4" customWidth="1" style="38" min="1" max="1"/>
    <col width="10" customWidth="1" style="38" min="2" max="2"/>
    <col width="12" customWidth="1" style="38" min="3" max="3"/>
    <col width="16" customWidth="1" style="38" min="4" max="4"/>
    <col width="12" customWidth="1" style="38" min="5" max="5"/>
  </cols>
  <sheetData>
    <row r="1" ht="17.25" customHeight="1" s="39">
      <c r="A1" s="49" t="inlineStr">
        <is>
          <t>Cards per group</t>
        </is>
      </c>
    </row>
    <row r="2" ht="15" customHeight="1" s="39">
      <c r="A2" s="50" t="inlineStr">
        <is>
          <t>Counted live from the Plan sheet. Rule: every map from Map 1 on has 4 unique cards; each special biome has 6–10 fodder cards.</t>
        </is>
      </c>
    </row>
    <row r="4" ht="30" customHeight="1" s="39">
      <c r="A4" s="40" t="inlineStr">
        <is>
          <t>Group</t>
        </is>
      </c>
      <c r="B4" s="40" t="inlineStr">
        <is>
          <t>Cards</t>
        </is>
      </c>
      <c r="C4" s="40" t="inlineStr">
        <is>
          <t>New cards</t>
        </is>
      </c>
      <c r="D4" s="40" t="inlineStr">
        <is>
          <t>Target</t>
        </is>
      </c>
      <c r="E4" s="40" t="inlineStr">
        <is>
          <t>Check</t>
        </is>
      </c>
    </row>
    <row r="5" ht="15" customHeight="1" s="39">
      <c r="A5" s="69" t="inlineStr">
        <is>
          <t>Base</t>
        </is>
      </c>
      <c r="B5" s="69">
        <f>COUNTIF(Plan!$A$2:$A$554,A5)</f>
        <v/>
      </c>
      <c r="C5" s="69">
        <f>COUNTIFS(Plan!$A$2:$A$554,A5,Plan!$E$2:$E$554,"yes")</f>
        <v/>
      </c>
      <c r="D5" s="69" t="n"/>
      <c r="E5" s="69" t="n"/>
    </row>
    <row r="6" ht="15" customHeight="1" s="39">
      <c r="A6" s="69" t="inlineStr">
        <is>
          <t>Faction · Otters</t>
        </is>
      </c>
      <c r="B6" s="69">
        <f>COUNTIF(Plan!$A$2:$A$554,A6)</f>
        <v/>
      </c>
      <c r="C6" s="69">
        <f>COUNTIFS(Plan!$A$2:$A$554,A6,Plan!$E$2:$E$554,"yes")</f>
        <v/>
      </c>
      <c r="D6" s="69" t="n"/>
      <c r="E6" s="69" t="n"/>
    </row>
    <row r="7" ht="15" customHeight="1" s="39">
      <c r="A7" s="69" t="inlineStr">
        <is>
          <t>Faction · Hummingbirds</t>
        </is>
      </c>
      <c r="B7" s="69">
        <f>COUNTIF(Plan!$A$2:$A$554,A7)</f>
        <v/>
      </c>
      <c r="C7" s="69">
        <f>COUNTIFS(Plan!$A$2:$A$554,A7,Plan!$E$2:$E$554,"yes")</f>
        <v/>
      </c>
      <c r="D7" s="69" t="n"/>
      <c r="E7" s="69" t="n"/>
    </row>
    <row r="8" ht="15" customHeight="1" s="39">
      <c r="A8" s="69" t="inlineStr">
        <is>
          <t>Tutorial</t>
        </is>
      </c>
      <c r="B8" s="69">
        <f>COUNTIF(Plan!$A$2:$A$554,A8)</f>
        <v/>
      </c>
      <c r="C8" s="69">
        <f>COUNTIFS(Plan!$A$2:$A$554,A8,Plan!$E$2:$E$554,"yes")</f>
        <v/>
      </c>
      <c r="D8" s="69" t="n"/>
      <c r="E8" s="69" t="n"/>
    </row>
    <row r="9" ht="15" customHeight="1" s="39">
      <c r="A9" s="69" t="inlineStr">
        <is>
          <t>Map 0</t>
        </is>
      </c>
      <c r="B9" s="69">
        <f>COUNTIF(Plan!$A$2:$A$554,A9)</f>
        <v/>
      </c>
      <c r="C9" s="69">
        <f>COUNTIFS(Plan!$A$2:$A$554,A9,Plan!$E$2:$E$554,"yes")</f>
        <v/>
      </c>
      <c r="D9" s="69" t="n"/>
      <c r="E9" s="69" t="n"/>
    </row>
    <row r="10" ht="15" customHeight="1" s="39">
      <c r="A10" s="69" t="inlineStr">
        <is>
          <t>Map 1</t>
        </is>
      </c>
      <c r="B10" s="69">
        <f>COUNTIF(Plan!$A$2:$A$554,A10)</f>
        <v/>
      </c>
      <c r="C10" s="69">
        <f>COUNTIFS(Plan!$A$2:$A$554,A10,Plan!$E$2:$E$554,"yes")</f>
        <v/>
      </c>
      <c r="D10" s="69" t="inlineStr">
        <is>
          <t>4</t>
        </is>
      </c>
      <c r="E10" s="69">
        <f>IF(B10=4,"OK","Check")</f>
        <v/>
      </c>
    </row>
    <row r="11" ht="15" customHeight="1" s="39">
      <c r="A11" s="69" t="inlineStr">
        <is>
          <t>Map 2</t>
        </is>
      </c>
      <c r="B11" s="69">
        <f>COUNTIF(Plan!$A$2:$A$554,A11)</f>
        <v/>
      </c>
      <c r="C11" s="69">
        <f>COUNTIFS(Plan!$A$2:$A$554,A11,Plan!$E$2:$E$554,"yes")</f>
        <v/>
      </c>
      <c r="D11" s="69" t="inlineStr">
        <is>
          <t>4</t>
        </is>
      </c>
      <c r="E11" s="69">
        <f>IF(B11=4,"OK","Check")</f>
        <v/>
      </c>
    </row>
    <row r="12" ht="15" customHeight="1" s="39">
      <c r="A12" s="69" t="inlineStr">
        <is>
          <t>Map 3</t>
        </is>
      </c>
      <c r="B12" s="69">
        <f>COUNTIF(Plan!$A$2:$A$554,A12)</f>
        <v/>
      </c>
      <c r="C12" s="69">
        <f>COUNTIFS(Plan!$A$2:$A$554,A12,Plan!$E$2:$E$554,"yes")</f>
        <v/>
      </c>
      <c r="D12" s="69" t="inlineStr">
        <is>
          <t>4</t>
        </is>
      </c>
      <c r="E12" s="69">
        <f>IF(B12=4,"OK","Check")</f>
        <v/>
      </c>
    </row>
    <row r="13" ht="15" customHeight="1" s="39">
      <c r="A13" s="69" t="inlineStr">
        <is>
          <t>Map 4</t>
        </is>
      </c>
      <c r="B13" s="69">
        <f>COUNTIF(Plan!$A$2:$A$554,A13)</f>
        <v/>
      </c>
      <c r="C13" s="69">
        <f>COUNTIFS(Plan!$A$2:$A$554,A13,Plan!$E$2:$E$554,"yes")</f>
        <v/>
      </c>
      <c r="D13" s="69" t="inlineStr">
        <is>
          <t>4</t>
        </is>
      </c>
      <c r="E13" s="69">
        <f>IF(B13=4,"OK","Check")</f>
        <v/>
      </c>
    </row>
    <row r="14" ht="15" customHeight="1" s="39">
      <c r="A14" s="69" t="inlineStr">
        <is>
          <t>Map 5</t>
        </is>
      </c>
      <c r="B14" s="69">
        <f>COUNTIF(Plan!$A$2:$A$554,A14)</f>
        <v/>
      </c>
      <c r="C14" s="69">
        <f>COUNTIFS(Plan!$A$2:$A$554,A14,Plan!$E$2:$E$554,"yes")</f>
        <v/>
      </c>
      <c r="D14" s="69" t="inlineStr">
        <is>
          <t>4</t>
        </is>
      </c>
      <c r="E14" s="69">
        <f>IF(B14=4,"OK","Check")</f>
        <v/>
      </c>
    </row>
    <row r="15" ht="15" customHeight="1" s="39">
      <c r="A15" s="69" t="inlineStr">
        <is>
          <t>Map 6</t>
        </is>
      </c>
      <c r="B15" s="69">
        <f>COUNTIF(Plan!$A$2:$A$554,A15)</f>
        <v/>
      </c>
      <c r="C15" s="69">
        <f>COUNTIFS(Plan!$A$2:$A$554,A15,Plan!$E$2:$E$554,"yes")</f>
        <v/>
      </c>
      <c r="D15" s="69" t="inlineStr">
        <is>
          <t>4</t>
        </is>
      </c>
      <c r="E15" s="69">
        <f>IF(B15=4,"OK","Check")</f>
        <v/>
      </c>
    </row>
    <row r="16" ht="15" customHeight="1" s="39">
      <c r="A16" s="69" t="inlineStr">
        <is>
          <t>Map 7</t>
        </is>
      </c>
      <c r="B16" s="69">
        <f>COUNTIF(Plan!$A$2:$A$554,A16)</f>
        <v/>
      </c>
      <c r="C16" s="69">
        <f>COUNTIFS(Plan!$A$2:$A$554,A16,Plan!$E$2:$E$554,"yes")</f>
        <v/>
      </c>
      <c r="D16" s="69" t="inlineStr">
        <is>
          <t>4</t>
        </is>
      </c>
      <c r="E16" s="69">
        <f>IF(B16=4,"OK","Check")</f>
        <v/>
      </c>
    </row>
    <row r="17" ht="15" customHeight="1" s="39">
      <c r="A17" s="69" t="inlineStr">
        <is>
          <t>Map 8</t>
        </is>
      </c>
      <c r="B17" s="69">
        <f>COUNTIF(Plan!$A$2:$A$554,A17)</f>
        <v/>
      </c>
      <c r="C17" s="69">
        <f>COUNTIFS(Plan!$A$2:$A$554,A17,Plan!$E$2:$E$554,"yes")</f>
        <v/>
      </c>
      <c r="D17" s="69" t="inlineStr">
        <is>
          <t>4</t>
        </is>
      </c>
      <c r="E17" s="69">
        <f>IF(B17=4,"OK","Check")</f>
        <v/>
      </c>
    </row>
    <row r="18" ht="15" customHeight="1" s="39">
      <c r="A18" s="69" t="inlineStr">
        <is>
          <t>Map 9</t>
        </is>
      </c>
      <c r="B18" s="69">
        <f>COUNTIF(Plan!$A$2:$A$554,A18)</f>
        <v/>
      </c>
      <c r="C18" s="69">
        <f>COUNTIFS(Plan!$A$2:$A$554,A18,Plan!$E$2:$E$554,"yes")</f>
        <v/>
      </c>
      <c r="D18" s="69" t="inlineStr">
        <is>
          <t>4</t>
        </is>
      </c>
      <c r="E18" s="69">
        <f>IF(B18=4,"OK","Check")</f>
        <v/>
      </c>
    </row>
    <row r="19" ht="15" customHeight="1" s="39">
      <c r="A19" s="69" t="inlineStr">
        <is>
          <t>Map 10</t>
        </is>
      </c>
      <c r="B19" s="69">
        <f>COUNTIF(Plan!$A$2:$A$554,A19)</f>
        <v/>
      </c>
      <c r="C19" s="69">
        <f>COUNTIFS(Plan!$A$2:$A$554,A19,Plan!$E$2:$E$554,"yes")</f>
        <v/>
      </c>
      <c r="D19" s="69" t="inlineStr">
        <is>
          <t>4</t>
        </is>
      </c>
      <c r="E19" s="69">
        <f>IF(B19=4,"OK","Check")</f>
        <v/>
      </c>
    </row>
    <row r="20" ht="15" customHeight="1" s="39">
      <c r="A20" s="69" t="inlineStr">
        <is>
          <t>Map 11</t>
        </is>
      </c>
      <c r="B20" s="69">
        <f>COUNTIF(Plan!$A$2:$A$554,A20)</f>
        <v/>
      </c>
      <c r="C20" s="69">
        <f>COUNTIFS(Plan!$A$2:$A$554,A20,Plan!$E$2:$E$554,"yes")</f>
        <v/>
      </c>
      <c r="D20" s="69" t="inlineStr">
        <is>
          <t>4</t>
        </is>
      </c>
      <c r="E20" s="69">
        <f>IF(B20=4,"OK","Check")</f>
        <v/>
      </c>
    </row>
    <row r="21" ht="15" customHeight="1" s="39">
      <c r="A21" s="69" t="inlineStr">
        <is>
          <t>Map 12</t>
        </is>
      </c>
      <c r="B21" s="69">
        <f>COUNTIF(Plan!$A$2:$A$554,A21)</f>
        <v/>
      </c>
      <c r="C21" s="69">
        <f>COUNTIFS(Plan!$A$2:$A$554,A21,Plan!$E$2:$E$554,"yes")</f>
        <v/>
      </c>
      <c r="D21" s="69" t="inlineStr">
        <is>
          <t>4</t>
        </is>
      </c>
      <c r="E21" s="69">
        <f>IF(B21=4,"OK","Check")</f>
        <v/>
      </c>
    </row>
    <row r="22" ht="15" customHeight="1" s="39">
      <c r="A22" s="69" t="inlineStr">
        <is>
          <t>Map 13</t>
        </is>
      </c>
      <c r="B22" s="69">
        <f>COUNTIF(Plan!$A$2:$A$554,A22)</f>
        <v/>
      </c>
      <c r="C22" s="69">
        <f>COUNTIFS(Plan!$A$2:$A$554,A22,Plan!$E$2:$E$554,"yes")</f>
        <v/>
      </c>
      <c r="D22" s="69" t="inlineStr">
        <is>
          <t>4</t>
        </is>
      </c>
      <c r="E22" s="69">
        <f>IF(B22=4,"OK","Check")</f>
        <v/>
      </c>
    </row>
    <row r="23" ht="15" customHeight="1" s="39">
      <c r="A23" s="69" t="inlineStr">
        <is>
          <t>Map 14</t>
        </is>
      </c>
      <c r="B23" s="69">
        <f>COUNTIF(Plan!$A$2:$A$554,A23)</f>
        <v/>
      </c>
      <c r="C23" s="69">
        <f>COUNTIFS(Plan!$A$2:$A$554,A23,Plan!$E$2:$E$554,"yes")</f>
        <v/>
      </c>
      <c r="D23" s="69" t="inlineStr">
        <is>
          <t>4</t>
        </is>
      </c>
      <c r="E23" s="69">
        <f>IF(B23=4,"OK","Check")</f>
        <v/>
      </c>
    </row>
    <row r="24" ht="15" customHeight="1" s="39">
      <c r="A24" s="69" t="inlineStr">
        <is>
          <t>Map 15</t>
        </is>
      </c>
      <c r="B24" s="69">
        <f>COUNTIF(Plan!$A$2:$A$554,A24)</f>
        <v/>
      </c>
      <c r="C24" s="69">
        <f>COUNTIFS(Plan!$A$2:$A$554,A24,Plan!$E$2:$E$554,"yes")</f>
        <v/>
      </c>
      <c r="D24" s="69" t="inlineStr">
        <is>
          <t>4</t>
        </is>
      </c>
      <c r="E24" s="69">
        <f>IF(B24=4,"OK","Check")</f>
        <v/>
      </c>
    </row>
    <row r="25" ht="15" customHeight="1" s="39">
      <c r="A25" s="69" t="inlineStr">
        <is>
          <t>Map 16</t>
        </is>
      </c>
      <c r="B25" s="69">
        <f>COUNTIF(Plan!$A$2:$A$554,A25)</f>
        <v/>
      </c>
      <c r="C25" s="69">
        <f>COUNTIFS(Plan!$A$2:$A$554,A25,Plan!$E$2:$E$554,"yes")</f>
        <v/>
      </c>
      <c r="D25" s="69" t="inlineStr">
        <is>
          <t>4</t>
        </is>
      </c>
      <c r="E25" s="69">
        <f>IF(B25=4,"OK","Check")</f>
        <v/>
      </c>
    </row>
    <row r="26" ht="15" customHeight="1" s="39">
      <c r="A26" s="69" t="inlineStr">
        <is>
          <t>Map 17</t>
        </is>
      </c>
      <c r="B26" s="69">
        <f>COUNTIF(Plan!$A$2:$A$554,A26)</f>
        <v/>
      </c>
      <c r="C26" s="69">
        <f>COUNTIFS(Plan!$A$2:$A$554,A26,Plan!$E$2:$E$554,"yes")</f>
        <v/>
      </c>
      <c r="D26" s="69" t="inlineStr">
        <is>
          <t>4</t>
        </is>
      </c>
      <c r="E26" s="69">
        <f>IF(B26=4,"OK","Check")</f>
        <v/>
      </c>
    </row>
    <row r="27" ht="15" customHeight="1" s="39">
      <c r="A27" s="69" t="inlineStr">
        <is>
          <t>Map 18</t>
        </is>
      </c>
      <c r="B27" s="69">
        <f>COUNTIF(Plan!$A$2:$A$554,A27)</f>
        <v/>
      </c>
      <c r="C27" s="69">
        <f>COUNTIFS(Plan!$A$2:$A$554,A27,Plan!$E$2:$E$554,"yes")</f>
        <v/>
      </c>
      <c r="D27" s="69" t="inlineStr">
        <is>
          <t>4</t>
        </is>
      </c>
      <c r="E27" s="69">
        <f>IF(B27=4,"OK","Check")</f>
        <v/>
      </c>
    </row>
    <row r="28" ht="15" customHeight="1" s="39">
      <c r="A28" s="69" t="inlineStr">
        <is>
          <t>Map 19</t>
        </is>
      </c>
      <c r="B28" s="69">
        <f>COUNTIF(Plan!$A$2:$A$554,A28)</f>
        <v/>
      </c>
      <c r="C28" s="69">
        <f>COUNTIFS(Plan!$A$2:$A$554,A28,Plan!$E$2:$E$554,"yes")</f>
        <v/>
      </c>
      <c r="D28" s="69" t="inlineStr">
        <is>
          <t>4</t>
        </is>
      </c>
      <c r="E28" s="69">
        <f>IF(B28=4,"OK","Check")</f>
        <v/>
      </c>
    </row>
    <row r="29" ht="15" customHeight="1" s="39">
      <c r="A29" s="69" t="inlineStr">
        <is>
          <t>Map 20</t>
        </is>
      </c>
      <c r="B29" s="69">
        <f>COUNTIF(Plan!$A$2:$A$554,A29)</f>
        <v/>
      </c>
      <c r="C29" s="69">
        <f>COUNTIFS(Plan!$A$2:$A$554,A29,Plan!$E$2:$E$554,"yes")</f>
        <v/>
      </c>
      <c r="D29" s="69" t="inlineStr">
        <is>
          <t>4</t>
        </is>
      </c>
      <c r="E29" s="69">
        <f>IF(B29=4,"OK","Check")</f>
        <v/>
      </c>
    </row>
    <row r="30" ht="15" customHeight="1" s="39">
      <c r="A30" s="69" t="inlineStr">
        <is>
          <t>Map 21</t>
        </is>
      </c>
      <c r="B30" s="69">
        <f>COUNTIF(Plan!$A$2:$A$554,A30)</f>
        <v/>
      </c>
      <c r="C30" s="69">
        <f>COUNTIFS(Plan!$A$2:$A$554,A30,Plan!$E$2:$E$554,"yes")</f>
        <v/>
      </c>
      <c r="D30" s="69" t="inlineStr">
        <is>
          <t>4</t>
        </is>
      </c>
      <c r="E30" s="69">
        <f>IF(B30=4,"OK","Check")</f>
        <v/>
      </c>
    </row>
    <row r="31" ht="15" customHeight="1" s="39">
      <c r="A31" s="69" t="inlineStr">
        <is>
          <t>Biome fodder · Ocean</t>
        </is>
      </c>
      <c r="B31" s="69">
        <f>COUNTIF(Plan!$A$2:$A$554,A31)</f>
        <v/>
      </c>
      <c r="C31" s="69">
        <f>COUNTIFS(Plan!$A$2:$A$554,A31,Plan!$E$2:$E$554,"yes")</f>
        <v/>
      </c>
      <c r="D31" s="69" t="inlineStr">
        <is>
          <t>6–10</t>
        </is>
      </c>
      <c r="E31" s="69">
        <f>IF(AND(B31&gt;=6,B31&lt;=10),"OK","Check")</f>
        <v/>
      </c>
    </row>
    <row r="32" ht="15" customHeight="1" s="39">
      <c r="A32" s="69" t="inlineStr">
        <is>
          <t>Biome fodder · Swamp</t>
        </is>
      </c>
      <c r="B32" s="69">
        <f>COUNTIF(Plan!$A$2:$A$554,A32)</f>
        <v/>
      </c>
      <c r="C32" s="69">
        <f>COUNTIFS(Plan!$A$2:$A$554,A32,Plan!$E$2:$E$554,"yes")</f>
        <v/>
      </c>
      <c r="D32" s="69" t="inlineStr">
        <is>
          <t>6–10</t>
        </is>
      </c>
      <c r="E32" s="69">
        <f>IF(AND(B32&gt;=6,B32&lt;=10),"OK","Check")</f>
        <v/>
      </c>
    </row>
    <row r="33" ht="15" customHeight="1" s="39">
      <c r="A33" s="69" t="inlineStr">
        <is>
          <t>Biome fodder · Ice</t>
        </is>
      </c>
      <c r="B33" s="69">
        <f>COUNTIF(Plan!$A$2:$A$554,A33)</f>
        <v/>
      </c>
      <c r="C33" s="69">
        <f>COUNTIFS(Plan!$A$2:$A$554,A33,Plan!$E$2:$E$554,"yes")</f>
        <v/>
      </c>
      <c r="D33" s="69" t="inlineStr">
        <is>
          <t>6–10</t>
        </is>
      </c>
      <c r="E33" s="69">
        <f>IF(AND(B33&gt;=6,B33&lt;=10),"OK","Check")</f>
        <v/>
      </c>
    </row>
    <row r="34" ht="15" customHeight="1" s="39">
      <c r="A34" s="69" t="inlineStr">
        <is>
          <t>Biome fodder · Volcano</t>
        </is>
      </c>
      <c r="B34" s="69">
        <f>COUNTIF(Plan!$A$2:$A$554,A34)</f>
        <v/>
      </c>
      <c r="C34" s="69">
        <f>COUNTIFS(Plan!$A$2:$A$554,A34,Plan!$E$2:$E$554,"yes")</f>
        <v/>
      </c>
      <c r="D34" s="69" t="inlineStr">
        <is>
          <t>6–10</t>
        </is>
      </c>
      <c r="E34" s="69">
        <f>IF(AND(B34&gt;=6,B34&lt;=10),"OK","Check")</f>
        <v/>
      </c>
    </row>
    <row r="35" ht="15" customHeight="1" s="39">
      <c r="A35" s="69" t="inlineStr">
        <is>
          <t>Biome fodder · Cave</t>
        </is>
      </c>
      <c r="B35" s="69">
        <f>COUNTIF(Plan!$A$2:$A$554,A35)</f>
        <v/>
      </c>
      <c r="C35" s="69">
        <f>COUNTIFS(Plan!$A$2:$A$554,A35,Plan!$E$2:$E$554,"yes")</f>
        <v/>
      </c>
      <c r="D35" s="69" t="inlineStr">
        <is>
          <t>6–10</t>
        </is>
      </c>
      <c r="E35" s="69">
        <f>IF(AND(B35&gt;=6,B35&lt;=10),"OK","Check")</f>
        <v/>
      </c>
    </row>
    <row r="36" ht="15" customHeight="1" s="39">
      <c r="A36" s="69" t="inlineStr">
        <is>
          <t>Mystery pack (Map 20 side map)</t>
        </is>
      </c>
      <c r="B36" s="69">
        <f>COUNTIF(Plan!$A$2:$A$554,A36)</f>
        <v/>
      </c>
      <c r="C36" s="69">
        <f>COUNTIFS(Plan!$A$2:$A$554,A36,Plan!$E$2:$E$554,"yes")</f>
        <v/>
      </c>
      <c r="D36" s="69" t="n"/>
      <c r="E36" s="69" t="n"/>
    </row>
    <row r="37" ht="15" customHeight="1" s="39">
      <c r="A37" s="69" t="inlineStr">
        <is>
          <t>Later worlds (kept out of the first world)</t>
        </is>
      </c>
      <c r="B37" s="69">
        <f>COUNTIF(Plan!$A$2:$A$554,A37)</f>
        <v/>
      </c>
      <c r="C37" s="69">
        <f>COUNTIFS(Plan!$A$2:$A$554,A37,Plan!$E$2:$E$554,"yes")</f>
        <v/>
      </c>
      <c r="D37" s="69" t="n"/>
      <c r="E37" s="69" t="n"/>
    </row>
    <row r="38" ht="15" customHeight="1" s="39">
      <c r="A38" s="69" t="inlineStr">
        <is>
          <t>Retired / not planned</t>
        </is>
      </c>
      <c r="B38" s="69">
        <f>COUNTIF(Plan!$A$2:$A$554,A38)</f>
        <v/>
      </c>
      <c r="C38" s="69">
        <f>COUNTIFS(Plan!$A$2:$A$554,A38,Plan!$E$2:$E$554,"yes")</f>
        <v/>
      </c>
      <c r="D38" s="69" t="n"/>
      <c r="E38" s="69" t="n"/>
    </row>
    <row r="39" ht="15" customHeight="1" s="39">
      <c r="A39" s="69" t="inlineStr">
        <is>
          <t>Spare animals (not placed yet)</t>
        </is>
      </c>
      <c r="B39" s="69">
        <f>COUNTIF(Plan!$A$2:$A$554,A39)</f>
        <v/>
      </c>
      <c r="C39" s="69">
        <f>COUNTIFS(Plan!$A$2:$A$554,A39,Plan!$E$2:$E$554,"yes")</f>
        <v/>
      </c>
      <c r="D39" s="69" t="n"/>
    </row>
    <row r="40" ht="15" customHeight="1" s="39">
      <c r="A40" s="70" t="inlineStr">
        <is>
          <t>All cards</t>
        </is>
      </c>
      <c r="B40" s="70">
        <f>SUM(B5:B39)</f>
        <v/>
      </c>
      <c r="C40" s="70">
        <f>SUM(C5:C39)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16"/>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8" min="1" max="1"/>
    <col width="28" customWidth="1" style="38" min="2" max="2"/>
    <col width="16" customWidth="1" style="38" min="3" max="3"/>
    <col width="10" customWidth="1" style="38" min="4" max="4"/>
    <col width="34" customWidth="1" style="38" min="5" max="5"/>
    <col width="44" customWidth="1" style="38" min="6" max="6"/>
    <col width="34" customWidth="1" style="38" min="7" max="7"/>
  </cols>
  <sheetData>
    <row r="1" ht="17.35" customHeight="1" s="39">
      <c r="A1" s="53" t="inlineStr">
        <is>
          <t>Flora (Maps 20+): proposals to pick from</t>
        </is>
      </c>
    </row>
    <row r="2" ht="15" customHeight="1" s="39">
      <c r="A2" s="38" t="inlineStr">
        <is>
          <t>Fruits, vegetables and fungi come to life. Some are rooted and never attack; others have faces and arms or tentacles. Tick ✓ in Pick for the ones you want; I then set stats from the stat budget and make the art.</t>
        </is>
      </c>
    </row>
    <row r="4" ht="15" customHeight="1" s="39">
      <c r="A4" s="74" t="inlineStr">
        <is>
          <t>Pick</t>
        </is>
      </c>
      <c r="B4" s="74" t="inlineStr">
        <is>
          <t>Name</t>
        </is>
      </c>
      <c r="C4" s="74" t="inlineStr">
        <is>
          <t>Kind</t>
        </is>
      </c>
      <c r="D4" s="74" t="inlineStr">
        <is>
          <t>Rooted?</t>
        </is>
      </c>
      <c r="E4" s="74" t="inlineStr">
        <is>
          <t>Proposed skills (existing ones)</t>
        </is>
      </c>
      <c r="F4" s="74" t="inlineStr">
        <is>
          <t>What it does in a fight</t>
        </is>
      </c>
      <c r="G4" s="74" t="inlineStr">
        <is>
          <t>Flavour</t>
        </is>
      </c>
    </row>
    <row r="5" ht="26.85" customHeight="1" s="39">
      <c r="A5" s="61" t="n"/>
      <c r="B5" s="61" t="inlineStr">
        <is>
          <t>Rafflesia (already made)</t>
        </is>
      </c>
      <c r="C5" s="61" t="inlineStr">
        <is>
          <t>Flower</t>
        </is>
      </c>
      <c r="D5" s="61" t="inlineStr">
        <is>
          <t>Rooted</t>
        </is>
      </c>
      <c r="E5" s="61" t="inlineStr">
        <is>
          <t>On Ready: weaken the enemy facing it (−1 Attack each round)</t>
        </is>
      </c>
      <c r="F5" s="61" t="inlineStr">
        <is>
          <t>Never attacks; slowly saps whatever stands in front of it</t>
        </is>
      </c>
      <c r="G5" s="61" t="inlineStr">
        <is>
          <t>It smells like victory. Mostly it smells.</t>
        </is>
      </c>
    </row>
    <row r="6" ht="26.85" customHeight="1" s="39">
      <c r="A6" s="61" t="n"/>
      <c r="B6" s="61" t="inlineStr">
        <is>
          <t>Venus Snaptrap</t>
        </is>
      </c>
      <c r="C6" s="61" t="inlineStr">
        <is>
          <t>Carnivorous plant</t>
        </is>
      </c>
      <c r="D6" s="61" t="inlineStr">
        <is>
          <t>Rooted</t>
        </is>
      </c>
      <c r="E6" s="61" t="inlineStr">
        <is>
          <t>Counterattack, Bloom (Wet): +2/+2</t>
        </is>
      </c>
      <c r="F6" s="61" t="inlineStr">
        <is>
          <t>Never attacks on its own; snaps hard at anything that hits it, stronger in the rain</t>
        </is>
      </c>
      <c r="G6" s="61" t="inlineStr">
        <is>
          <t>It waits. It is very good at waiting.</t>
        </is>
      </c>
    </row>
    <row r="7" ht="26.85" customHeight="1" s="39">
      <c r="A7" s="61" t="n"/>
      <c r="B7" s="61" t="inlineStr">
        <is>
          <t>Puffball Bombardier (already made)</t>
        </is>
      </c>
      <c r="C7" s="61" t="inlineStr">
        <is>
          <t>Fungus</t>
        </is>
      </c>
      <c r="D7" s="61" t="inlineStr">
        <is>
          <t>Walks</t>
        </is>
      </c>
      <c r="E7" s="61" t="inlineStr">
        <is>
          <t>Arrow 1, Poison 1</t>
        </is>
      </c>
      <c r="F7" s="61" t="inlineStr">
        <is>
          <t>Lobs spore puffs that poison</t>
        </is>
      </c>
      <c r="G7" s="61" t="inlineStr">
        <is>
          <t>Pop goes the puffball.</t>
        </is>
      </c>
    </row>
    <row r="8" ht="26.85" customHeight="1" s="39">
      <c r="A8" s="61" t="n"/>
      <c r="B8" s="61" t="inlineStr">
        <is>
          <t>Turnip Brawler</t>
        </is>
      </c>
      <c r="C8" s="61" t="inlineStr">
        <is>
          <t>Root vegetable</t>
        </is>
      </c>
      <c r="D8" s="61" t="inlineStr">
        <is>
          <t>Walks</t>
        </is>
      </c>
      <c r="E8" s="61" t="inlineStr">
        <is>
          <t>Sprout 1, Kinship (Plant) +1/+0</t>
        </is>
      </c>
      <c r="F8" s="61" t="inlineStr">
        <is>
          <t>A stubby turnip with fists; leaves a sprout behind when it arrives</t>
        </is>
      </c>
      <c r="G8" s="61" t="inlineStr">
        <is>
          <t>Pulled up too early and still angry about it.</t>
        </is>
      </c>
    </row>
    <row r="9" ht="26.85" customHeight="1" s="39">
      <c r="A9" s="61" t="n"/>
      <c r="B9" s="61" t="inlineStr">
        <is>
          <t>Pumpkin Knight</t>
        </is>
      </c>
      <c r="C9" s="61" t="inlineStr">
        <is>
          <t>Gourd</t>
        </is>
      </c>
      <c r="D9" s="61" t="inlineStr">
        <is>
          <t>Walks</t>
        </is>
      </c>
      <c r="E9" s="61" t="inlineStr">
        <is>
          <t>Shield 4, Guardian</t>
        </is>
      </c>
      <c r="F9" s="61" t="inlineStr">
        <is>
          <t>A hollow pumpkin in a carved helm that guards its friends</t>
        </is>
      </c>
      <c r="G9" s="61" t="inlineStr">
        <is>
          <t>Carved with a frown on purpose.</t>
        </is>
      </c>
    </row>
    <row r="10" ht="15" customHeight="1" s="39">
      <c r="A10" s="61" t="n"/>
      <c r="B10" s="61" t="inlineStr">
        <is>
          <t>Coconut Crab-Shell</t>
        </is>
      </c>
      <c r="C10" s="61" t="inlineStr">
        <is>
          <t>Fruit</t>
        </is>
      </c>
      <c r="D10" s="61" t="inlineStr">
        <is>
          <t>Walks</t>
        </is>
      </c>
      <c r="E10" s="61" t="inlineStr">
        <is>
          <t>Shell, Thorns 1</t>
        </is>
      </c>
      <c r="F10" s="61" t="inlineStr">
        <is>
          <t>A coconut on little legs; hard to crack</t>
        </is>
      </c>
      <c r="G10" s="61" t="inlineStr">
        <is>
          <t>Do not shake the tree.</t>
        </is>
      </c>
    </row>
    <row r="11" ht="26.85" customHeight="1" s="39">
      <c r="A11" s="61" t="n"/>
      <c r="B11" s="61" t="inlineStr">
        <is>
          <t>Durian Duke</t>
        </is>
      </c>
      <c r="C11" s="61" t="inlineStr">
        <is>
          <t>Fruit</t>
        </is>
      </c>
      <c r="D11" s="61" t="inlineStr">
        <is>
          <t>Rooted</t>
        </is>
      </c>
      <c r="E11" s="61" t="inlineStr">
        <is>
          <t>Durian, Thorns 2</t>
        </is>
      </c>
      <c r="F11" s="61" t="inlineStr">
        <is>
          <t>A spiky fruit that only grows spikier</t>
        </is>
      </c>
      <c r="G11" s="61" t="inlineStr">
        <is>
          <t>The king of fruits, and the king of smells.</t>
        </is>
      </c>
    </row>
    <row r="12" ht="26.85" customHeight="1" s="39">
      <c r="A12" s="61" t="n"/>
      <c r="B12" s="61" t="inlineStr">
        <is>
          <t>Mandrake Screamer</t>
        </is>
      </c>
      <c r="C12" s="61" t="inlineStr">
        <is>
          <t>Root</t>
        </is>
      </c>
      <c r="D12" s="61" t="inlineStr">
        <is>
          <t>Walks</t>
        </is>
      </c>
      <c r="E12" s="61" t="inlineStr">
        <is>
          <t>Scare, Meiosis 1</t>
        </is>
      </c>
      <c r="F12" s="61" t="inlineStr">
        <is>
          <t>Shrieks when it arrives (enemies may flee); splits in two when it dies</t>
        </is>
      </c>
      <c r="G12" s="61" t="inlineStr">
        <is>
          <t>Pull it up and you will hear about it.</t>
        </is>
      </c>
    </row>
    <row r="13" ht="26.85" customHeight="1" s="39">
      <c r="A13" s="61" t="n"/>
      <c r="B13" s="61" t="inlineStr">
        <is>
          <t>Morel Lantern (Mycelium Choir)</t>
        </is>
      </c>
      <c r="C13" s="61" t="inlineStr">
        <is>
          <t>Fungus</t>
        </is>
      </c>
      <c r="D13" s="61" t="inlineStr">
        <is>
          <t>Rooted</t>
        </is>
      </c>
      <c r="E13" s="61" t="inlineStr">
        <is>
          <t>Lantern, Sprout 1</t>
        </is>
      </c>
      <c r="F13" s="61" t="inlineStr">
        <is>
          <t>Lights its side in the dark and seeds sprouts</t>
        </is>
      </c>
      <c r="G13" s="61" t="inlineStr">
        <is>
          <t>A small light in the deep wood.</t>
        </is>
      </c>
    </row>
    <row r="14" ht="15" customHeight="1" s="39">
      <c r="A14" s="61" t="n"/>
      <c r="B14" s="61" t="inlineStr">
        <is>
          <t>Vine Strangler</t>
        </is>
      </c>
      <c r="C14" s="61" t="inlineStr">
        <is>
          <t>Vine</t>
        </is>
      </c>
      <c r="D14" s="61" t="inlineStr">
        <is>
          <t>Rooted</t>
        </is>
      </c>
      <c r="E14" s="61" t="inlineStr">
        <is>
          <t>Chained, Reach</t>
        </is>
      </c>
      <c r="F14" s="61" t="inlineStr">
        <is>
          <t>Long tentacle vines that hold the unit in front</t>
        </is>
      </c>
      <c r="G14" s="61" t="inlineStr">
        <is>
          <t>It does not let go.</t>
        </is>
      </c>
    </row>
    <row r="15" ht="26.85" customHeight="1" s="39">
      <c r="A15" s="61" t="n"/>
      <c r="B15" s="61" t="inlineStr">
        <is>
          <t>Berry Swarm</t>
        </is>
      </c>
      <c r="C15" s="61" t="inlineStr">
        <is>
          <t>Berries</t>
        </is>
      </c>
      <c r="D15" s="61" t="inlineStr">
        <is>
          <t>Walks</t>
        </is>
      </c>
      <c r="E15" s="61" t="inlineStr">
        <is>
          <t>Swarm, Brood 1, Growth</t>
        </is>
      </c>
      <c r="F15" s="61" t="inlineStr">
        <is>
          <t>A rolling bunch of berries that keeps budding more</t>
        </is>
      </c>
      <c r="G15" s="61" t="inlineStr">
        <is>
          <t>Pick one and three more grow back.</t>
        </is>
      </c>
    </row>
    <row r="16" ht="15" customHeight="1" s="39">
      <c r="A16" s="61" t="n"/>
      <c r="B16" s="61" t="inlineStr">
        <is>
          <t>Corn Sentinel</t>
        </is>
      </c>
      <c r="C16" s="61" t="inlineStr">
        <is>
          <t>Grain</t>
        </is>
      </c>
      <c r="D16" s="61" t="inlineStr">
        <is>
          <t>Rooted</t>
        </is>
      </c>
      <c r="E16" s="61" t="inlineStr">
        <is>
          <t>Bloom (Day): +2/+2, Arrow 1</t>
        </is>
      </c>
      <c r="F16" s="61" t="inlineStr">
        <is>
          <t>A tall corn stalk that pelts kernels by day</t>
        </is>
      </c>
      <c r="G16" s="61" t="inlineStr">
        <is>
          <t>All ears, all day.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2026-10-13T16:48:08Z</dcterms:created>
  <dcterms:modified xmlns:dcterms="http://purl.org/dc/terms/" xmlns:xsi="http://www.w3.org/2001/XMLSchema-instance" xsi:type="dcterms:W3CDTF">2026-10-17T14:56:05Z</dcterms:modified>
  <cp:revision>0</cp:revision>
</cp:coreProperties>
</file>