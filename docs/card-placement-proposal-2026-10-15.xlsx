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lacement" sheetId="2" state="visible" r:id="rId4"/>
    <sheet name="Skirmish rarity curve" sheetId="3" state="visible" r:id="rId5"/>
    <sheet name="Skill curriculum (thematic)" sheetId="4" state="visible" r:id="rId6"/>
    <sheet name="Cards per map count" sheetId="5" state="visible" r:id="rId7"/>
    <sheet name="Biome supply vs need" sheetId="6" state="visible" r:id="rId8"/>
    <sheet name="Babies &amp; eggs" sheetId="7" state="visible" r:id="rId9"/>
  </sheets>
  <definedNames>
    <definedName function="false" hidden="true" localSheetId="6" name="_xlnm._FilterDatabase" vbProcedure="false">'Babies &amp; eggs'!$A$1:$H$42</definedName>
    <definedName function="false" hidden="true" localSheetId="5" name="_xlnm._FilterDatabase" vbProcedure="false">'Biome supply vs need'!$A$1:$K$18</definedName>
    <definedName function="false" hidden="true" localSheetId="4" name="_xlnm._FilterDatabase" vbProcedure="false">'Cards per map count'!$A$1:$P$38</definedName>
    <definedName function="false" hidden="true" localSheetId="1" name="_xlnm._FilterDatabase" vbProcedure="false">Placement!$A$1:$O$473</definedName>
    <definedName function="false" hidden="true" localSheetId="3" name="_xlnm._FilterDatabase" vbProcedure="false">'Skill curriculum (thematic)'!$A$1:$J$56</definedName>
    <definedName function="false" hidden="true" localSheetId="2" name="_xlnm._FilterDatabase" vbProcedure="false">'Skirmish rarity curve'!$A$1:$X$25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<sst xmlns="http://schemas.openxmlformats.org/spreadsheetml/2006/main" count="6943" uniqueCount="2190">
  <si>
    <t xml:space="preserve">Read me</t>
  </si>
  <si>
    <t xml:space="preserve">Card placement proposal (2026-10-15). A design proposal only: nothing in canonical/cards.json or the map data was changed.</t>
  </si>
  <si>
    <t xml:space="preserve">Which enemy cards belong on which map, Maps 0-21 and their side maps, theme first, then the skill curriculum, then rarity.</t>
  </si>
  <si>
    <t xml:space="preserve">Map 0 "today" means your published Map 0 decks (Pond Patrol, Thicket Swarm, 0-3, 0-4). Other maps use the repo map data. Raid-boss fights are left out.</t>
  </si>
  <si>
    <t xml:space="preserve">Roles: map-specific = the map's own natives; biome = shared by maps of that biome; shared basic = the basic 10 and starters; elite-boss only = only in the elite or boss deck; submap unique = met only on that side map; reused = seen earlier on the road.</t>
  </si>
  <si>
    <t xml:space="preserve">Fights: "(x1 rare spawn)" means one copy only, as a surprise in a regular skirmish. Fight counts follow 4 (Map 0) to 9 (Map 19), 11 on Map 20, 9 on Map 21.</t>
  </si>
  <si>
    <t xml:space="preserve">"(new)" rows are cards that do not exist yet (Gannet, Puffin, Peregrine, Archerfish, Chough Flock, Kestrel).</t>
  </si>
  <si>
    <t xml:space="preserve">Notes mark sheet changes this plan would need later (rarity relabels, a skill to add). None were made.</t>
  </si>
  <si>
    <t xml:space="preserve">Play order puts The Old Bramble after The Ice Hollow, since it unlocks there.</t>
  </si>
  <si>
    <t xml:space="preserve">Blue numbers on "Skirmish rarity curve" are design targets you can edit; the totals and every count on "Cards per map count" are formulas.</t>
  </si>
  <si>
    <t xml:space="preserve">Sheets: Placement, Skirmish rarity curve, Skill curriculum (thematic), Cards per map count, Biome supply vs need, Babies &amp; eggs.</t>
  </si>
  <si>
    <t xml:space="preserve">Order</t>
  </si>
  <si>
    <t xml:space="preserve">Map</t>
  </si>
  <si>
    <t xml:space="preserve">Map name</t>
  </si>
  <si>
    <t xml:space="preserve">Biome</t>
  </si>
  <si>
    <t xml:space="preserve">Card id</t>
  </si>
  <si>
    <t xml:space="preserve">Name</t>
  </si>
  <si>
    <t xml:space="preserve">Rarity (sheet)</t>
  </si>
  <si>
    <t xml:space="preserve">Skills</t>
  </si>
  <si>
    <t xml:space="preserve">Role</t>
  </si>
  <si>
    <t xml:space="preserve">Fights</t>
  </si>
  <si>
    <t xml:space="preserve">Change vs today</t>
  </si>
  <si>
    <t xml:space="preserve">First meeting on the road?</t>
  </si>
  <si>
    <t xml:space="preserve">In packs?</t>
  </si>
  <si>
    <t xml:space="preserve">Road maps it is on</t>
  </si>
  <si>
    <t xml:space="preserve">Notes</t>
  </si>
  <si>
    <t xml:space="preserve">Map 0 side</t>
  </si>
  <si>
    <t xml:space="preserve">Tutorial</t>
  </si>
  <si>
    <t xml:space="preserve">Forest edge</t>
  </si>
  <si>
    <t xml:space="preserve">honey-bee</t>
  </si>
  <si>
    <t xml:space="preserve">Honey Bee</t>
  </si>
  <si>
    <t xml:space="preserve">Starter</t>
  </si>
  <si>
    <t xml:space="preserve">Flying</t>
  </si>
  <si>
    <t xml:space="preserve">shared basic</t>
  </si>
  <si>
    <t xml:space="preserve">Tutorial; Tutorial II; T-2; T-4</t>
  </si>
  <si>
    <t xml:space="preserve">moved from Basalt Foundry (Map 19 side), Map 7, Map 8, The Mycelium Deep (Map 7 side); also stays on Clovermead (Map 1 side), Map 0</t>
  </si>
  <si>
    <t xml:space="preserve">Yes</t>
  </si>
  <si>
    <t xml:space="preserve">No</t>
  </si>
  <si>
    <t xml:space="preserve">Flying. Base bees do not swarm.</t>
  </si>
  <si>
    <t xml:space="preserve">pond-duck</t>
  </si>
  <si>
    <t xml:space="preserve">Pond Duck</t>
  </si>
  <si>
    <t xml:space="preserve">(none)</t>
  </si>
  <si>
    <t xml:space="preserve">Tutorial; T-2</t>
  </si>
  <si>
    <t xml:space="preserve">moved from The Old Bramble (Map 0 side); also stays on Lilypad Reach (Map 2 side), Map 0</t>
  </si>
  <si>
    <t xml:space="preserve">cottontail</t>
  </si>
  <si>
    <t xml:space="preserve">Cottontail</t>
  </si>
  <si>
    <t xml:space="preserve">Tutorial II; T-3</t>
  </si>
  <si>
    <t xml:space="preserve">moved from Map 15; also stays on Clovermead (Map 1 side), Map 0</t>
  </si>
  <si>
    <t xml:space="preserve">pond-trout</t>
  </si>
  <si>
    <t xml:space="preserve">Pond Trout</t>
  </si>
  <si>
    <t xml:space="preserve">Tutorial; T-3</t>
  </si>
  <si>
    <t xml:space="preserve">already here</t>
  </si>
  <si>
    <t xml:space="preserve">Fish carry Tide, which reads "?" until Map 2.</t>
  </si>
  <si>
    <t xml:space="preserve">meadow-frog</t>
  </si>
  <si>
    <t xml:space="preserve">Meadow Frog</t>
  </si>
  <si>
    <t xml:space="preserve">Common</t>
  </si>
  <si>
    <t xml:space="preserve">Tutorial II; T-2</t>
  </si>
  <si>
    <t xml:space="preserve">moved from Clovermead (Map 1 side); also stays on Map 0, Map 1</t>
  </si>
  <si>
    <t xml:space="preserve">crossed-eyes</t>
  </si>
  <si>
    <t xml:space="preserve">Crossed-Eyes</t>
  </si>
  <si>
    <t xml:space="preserve">T-2; T-4</t>
  </si>
  <si>
    <t xml:space="preserve">new here (also stays on Map 0, Map 3)</t>
  </si>
  <si>
    <t xml:space="preserve">garden-snail</t>
  </si>
  <si>
    <t xml:space="preserve">Garden Snail</t>
  </si>
  <si>
    <t xml:space="preserve">Armor 1</t>
  </si>
  <si>
    <t xml:space="preserve">Tutorial II; T-4</t>
  </si>
  <si>
    <t xml:space="preserve">moved from The Mycelium Deep (Map 7 side); also stays on Clovermead (Map 1 side), Map 0, Map 7</t>
  </si>
  <si>
    <t xml:space="preserve">meadow-rabbit</t>
  </si>
  <si>
    <t xml:space="preserve">Meadow Rabbit</t>
  </si>
  <si>
    <t xml:space="preserve">Tutorial; T-3; T-4</t>
  </si>
  <si>
    <t xml:space="preserve">acorn-chipmunk</t>
  </si>
  <si>
    <t xml:space="preserve">Acorn Chipmunk</t>
  </si>
  <si>
    <t xml:space="preserve">new here (also stays on Map 0)</t>
  </si>
  <si>
    <t xml:space="preserve">chipmunk-forager</t>
  </si>
  <si>
    <t xml:space="preserve">Chipmunk Forager</t>
  </si>
  <si>
    <t xml:space="preserve">Tutorial; Tutorial II</t>
  </si>
  <si>
    <t xml:space="preserve">moved from Clovermead (Map 1 side), Map 17; also stays on Map 0</t>
  </si>
  <si>
    <t xml:space="preserve">ant-scout</t>
  </si>
  <si>
    <t xml:space="preserve">Ant Scout</t>
  </si>
  <si>
    <t xml:space="preserve">Swarm</t>
  </si>
  <si>
    <t xml:space="preserve">T-3</t>
  </si>
  <si>
    <t xml:space="preserve">T-3 keeps its ant line: the Swarm preview.</t>
  </si>
  <si>
    <t xml:space="preserve">worker-ant</t>
  </si>
  <si>
    <t xml:space="preserve">Worker Ant</t>
  </si>
  <si>
    <t xml:space="preserve">trigger:onAttack</t>
  </si>
  <si>
    <t xml:space="preserve">Map 0</t>
  </si>
  <si>
    <t xml:space="preserve">Bramblewood Outskirts</t>
  </si>
  <si>
    <t xml:space="preserve">0-1 Pond Patrol; 0-3 Raccoon Heist; 0-4 Fox Den (boss)</t>
  </si>
  <si>
    <t xml:space="preserve">Flying is taught here (base bees: no Swarm).</t>
  </si>
  <si>
    <t xml:space="preserve">0-1 Pond Patrol; 0-4 Fox Den (boss)</t>
  </si>
  <si>
    <t xml:space="preserve">0-1 Pond Patrol; 0-3 Raccoon Heist</t>
  </si>
  <si>
    <t xml:space="preserve">0-1 Pond Patrol; 0-2 Ant Line</t>
  </si>
  <si>
    <t xml:space="preserve">Armor 1 is a soft preview; Map 1 teaches Armor properly.</t>
  </si>
  <si>
    <t xml:space="preserve">map-specific</t>
  </si>
  <si>
    <t xml:space="preserve">0-2 Ant Line; 0-4 Fox Den (boss)</t>
  </si>
  <si>
    <t xml:space="preserve">Swarm, on ants only. 0-2 is all ants plus a few basics, and weak on purpose.</t>
  </si>
  <si>
    <t xml:space="preserve">0-2 Ant Line</t>
  </si>
  <si>
    <t xml:space="preserve">forager-ant</t>
  </si>
  <si>
    <t xml:space="preserve">Forager Ant</t>
  </si>
  <si>
    <t xml:space="preserve">earthworm</t>
  </si>
  <si>
    <t xml:space="preserve">Earthworm</t>
  </si>
  <si>
    <t xml:space="preserve">Regeneration 1 (pending)</t>
  </si>
  <si>
    <t xml:space="preserve">new here (on no map today)</t>
  </si>
  <si>
    <t xml:space="preserve">Regeneration lives here. Sheet change needed: give Earthworm Regen 1.</t>
  </si>
  <si>
    <t xml:space="preserve">trash-panda-trickster</t>
  </si>
  <si>
    <t xml:space="preserve">Trash Panda Trickster</t>
  </si>
  <si>
    <t xml:space="preserve">Worthy 1, Nocturnal</t>
  </si>
  <si>
    <t xml:space="preserve">0-3 Raccoon Heist; 0-4 Fox Den (boss)</t>
  </si>
  <si>
    <t xml:space="preserve">Nocturnal reads "?" in the mist.</t>
  </si>
  <si>
    <t xml:space="preserve">chipmunk-skirmisher</t>
  </si>
  <si>
    <t xml:space="preserve">Chipmunk Skirmisher</t>
  </si>
  <si>
    <t xml:space="preserve">0-3 Raccoon Heist</t>
  </si>
  <si>
    <t xml:space="preserve">smoke-raccoon</t>
  </si>
  <si>
    <t xml:space="preserve">Smokescreen Raccoon</t>
  </si>
  <si>
    <t xml:space="preserve">Uncommon</t>
  </si>
  <si>
    <t xml:space="preserve">Smoke Bomb</t>
  </si>
  <si>
    <t xml:space="preserve">The ONE uncommon of 0-3 (x2): the heist's getaway Smoke Bomb. Replaces Fleetfoot'd, which leaks Quick and Tide.</t>
  </si>
  <si>
    <t xml:space="preserve">fox-kit</t>
  </si>
  <si>
    <t xml:space="preserve">Fox Kit</t>
  </si>
  <si>
    <t xml:space="preserve">Rare</t>
  </si>
  <si>
    <t xml:space="preserve">elite-boss only</t>
  </si>
  <si>
    <t xml:space="preserve">0-4 Fox Den (boss)</t>
  </si>
  <si>
    <t xml:space="preserve">The ONE new uncommon of 0-4 (x2), leading into Sergeant Bramblefox. Sheet says Rare: relabel to Uncommon.</t>
  </si>
  <si>
    <t xml:space="preserve">Map 1</t>
  </si>
  <si>
    <t xml:space="preserve">Thistlewood</t>
  </si>
  <si>
    <t xml:space="preserve">Hedgerow &amp; meadow</t>
  </si>
  <si>
    <t xml:space="preserve">hedgehog-scout</t>
  </si>
  <si>
    <t xml:space="preserve">Hedgehog Scout</t>
  </si>
  <si>
    <t xml:space="preserve">Thorns 1</t>
  </si>
  <si>
    <t xml:space="preserve">1-1; 1-2; 1-4; 1-5 (boss)</t>
  </si>
  <si>
    <t xml:space="preserve">Thorns is taught here.</t>
  </si>
  <si>
    <t xml:space="preserve">beetle-grunt</t>
  </si>
  <si>
    <t xml:space="preserve">Beetle Grunt</t>
  </si>
  <si>
    <t xml:space="preserve">1-1; 1-3; 1-5 (boss)</t>
  </si>
  <si>
    <t xml:space="preserve">Armor is taught here (the beetle's 1 Armor; crabs repeat it on Map 2).</t>
  </si>
  <si>
    <t xml:space="preserve">clover-butterfly</t>
  </si>
  <si>
    <t xml:space="preserve">Clover Butterfly</t>
  </si>
  <si>
    <t xml:space="preserve">Flying, Diurnal</t>
  </si>
  <si>
    <t xml:space="preserve">1-1; 1-2; 1-4</t>
  </si>
  <si>
    <t xml:space="preserve">Diurnal is taught here: the first card that wakes with the sun.</t>
  </si>
  <si>
    <t xml:space="preserve">dormouse</t>
  </si>
  <si>
    <t xml:space="preserve">Dormouse</t>
  </si>
  <si>
    <t xml:space="preserve">1-1; 1-3</t>
  </si>
  <si>
    <t xml:space="preserve">cricket-drummer</t>
  </si>
  <si>
    <t xml:space="preserve">Cricket Drummer</t>
  </si>
  <si>
    <t xml:space="preserve">1-2; 1-3</t>
  </si>
  <si>
    <t xml:space="preserve">field-crow</t>
  </si>
  <si>
    <t xml:space="preserve">Field Crow</t>
  </si>
  <si>
    <t xml:space="preserve">Flying, Diurnal (pending)</t>
  </si>
  <si>
    <t xml:space="preserve">biome</t>
  </si>
  <si>
    <t xml:space="preserve">Sheet change suggested: Diurnal, so Map 1 has two Diurnal natives.</t>
  </si>
  <si>
    <t xml:space="preserve">field-mouse</t>
  </si>
  <si>
    <t xml:space="preserve">Field Mouse</t>
  </si>
  <si>
    <t xml:space="preserve">Worthy 1</t>
  </si>
  <si>
    <t xml:space="preserve">1-1; 1-4</t>
  </si>
  <si>
    <t xml:space="preserve">pill-bug</t>
  </si>
  <si>
    <t xml:space="preserve">Pill Bug</t>
  </si>
  <si>
    <t xml:space="preserve">1-3</t>
  </si>
  <si>
    <t xml:space="preserve">new here (also stays on Clovermead (Map 1 side))</t>
  </si>
  <si>
    <t xml:space="preserve">Second Armor body.</t>
  </si>
  <si>
    <t xml:space="preserve">inside-out-hedgehog</t>
  </si>
  <si>
    <t xml:space="preserve">Inside-Out Hedgehog</t>
  </si>
  <si>
    <t xml:space="preserve">Armor 2, Thorns 1</t>
  </si>
  <si>
    <t xml:space="preserve">1-4</t>
  </si>
  <si>
    <t xml:space="preserve">Pack uncommon seen in the hedge before it is sold (Armor + Thorns).</t>
  </si>
  <si>
    <t xml:space="preserve">burrow-rabbit</t>
  </si>
  <si>
    <t xml:space="preserve">Burrow Rabbit</t>
  </si>
  <si>
    <t xml:space="preserve">1-2; 1-4; 1-5 (boss)</t>
  </si>
  <si>
    <t xml:space="preserve">1-2</t>
  </si>
  <si>
    <t xml:space="preserve">Map 1's main frog: give it Rainrunner when you do the sheet (maybe).</t>
  </si>
  <si>
    <t xml:space="preserve">badger-berserker</t>
  </si>
  <si>
    <t xml:space="preserve">Badger Berserker</t>
  </si>
  <si>
    <t xml:space="preserve">1-5 (boss)</t>
  </si>
  <si>
    <t xml:space="preserve">The boss's rare: a hired badger from the setts.</t>
  </si>
  <si>
    <t xml:space="preserve">thistle-baron</t>
  </si>
  <si>
    <t xml:space="preserve">The Thistle Baron</t>
  </si>
  <si>
    <t xml:space="preserve">Heroic</t>
  </si>
  <si>
    <t xml:space="preserve">Thorns 2</t>
  </si>
  <si>
    <t xml:space="preserve">Heroic boss card (also the reward).</t>
  </si>
  <si>
    <t xml:space="preserve">Map 1 side</t>
  </si>
  <si>
    <t xml:space="preserve">Clovermead</t>
  </si>
  <si>
    <t xml:space="preserve">puddle-skimmer</t>
  </si>
  <si>
    <t xml:space="preserve">Puddle Skimmer</t>
  </si>
  <si>
    <t xml:space="preserve">Rainrunner 2</t>
  </si>
  <si>
    <t xml:space="preserve">submap unique</t>
  </si>
  <si>
    <t xml:space="preserve">1-A-1; 1-A-3</t>
  </si>
  <si>
    <t xml:space="preserve">Unique. Rainrunner (maybe): skims the meadow puddles; pairs with the Spring Rain reward.</t>
  </si>
  <si>
    <t xml:space="preserve">harvest-mouse</t>
  </si>
  <si>
    <t xml:space="preserve">Harvest Mouse</t>
  </si>
  <si>
    <t xml:space="preserve">1-A-1; 1-A-2</t>
  </si>
  <si>
    <t xml:space="preserve">Unique (a starter critter never seen in a fight).</t>
  </si>
  <si>
    <t xml:space="preserve">reused (seen before)</t>
  </si>
  <si>
    <t xml:space="preserve">1-A-2</t>
  </si>
  <si>
    <t xml:space="preserve">1-A-1; 1-A-4 (boss)</t>
  </si>
  <si>
    <t xml:space="preserve">1-A-3; 1-A-4 (boss)</t>
  </si>
  <si>
    <t xml:space="preserve">1-A-3</t>
  </si>
  <si>
    <t xml:space="preserve">1-A-2; 1-A-3</t>
  </si>
  <si>
    <t xml:space="preserve">lucky-hopper</t>
  </si>
  <si>
    <t xml:space="preserve">Lucky Hopper</t>
  </si>
  <si>
    <t xml:space="preserve">1-A-4 (boss)</t>
  </si>
  <si>
    <t xml:space="preserve">The Old Hare himself (rare).</t>
  </si>
  <si>
    <t xml:space="preserve">Map 2</t>
  </si>
  <si>
    <t xml:space="preserve">Pebble Beach</t>
  </si>
  <si>
    <t xml:space="preserve">Shore</t>
  </si>
  <si>
    <t xml:space="preserve">shallows-fry</t>
  </si>
  <si>
    <t xml:space="preserve">Shallows Fry</t>
  </si>
  <si>
    <t xml:space="preserve">Swimmer</t>
  </si>
  <si>
    <t xml:space="preserve">2-1; 2-2</t>
  </si>
  <si>
    <t xml:space="preserve">Swimmer and the Tide, on the gentlest possible card.</t>
  </si>
  <si>
    <t xml:space="preserve">tide-pool-crab</t>
  </si>
  <si>
    <t xml:space="preserve">Tide Pool Crab</t>
  </si>
  <si>
    <t xml:space="preserve">Armor 1, Tide, Molting 4, Wave left</t>
  </si>
  <si>
    <t xml:space="preserve">2-1; 2-3; 2-4; 2-5 (boss)</t>
  </si>
  <si>
    <t xml:space="preserve">Tide and Molting are taught here; Armor repeats.</t>
  </si>
  <si>
    <t xml:space="preserve">fiddler-crab-swarm</t>
  </si>
  <si>
    <t xml:space="preserve">Fiddler Crab Swarm</t>
  </si>
  <si>
    <t xml:space="preserve">Tide, Fork, Crab Claws (for Fork) (pending)</t>
  </si>
  <si>
    <t xml:space="preserve">2-2; 2-4</t>
  </si>
  <si>
    <t xml:space="preserve">Its Fork becomes Crab Claws when you do the crab pass.</t>
  </si>
  <si>
    <t xml:space="preserve">conch-crawler</t>
  </si>
  <si>
    <t xml:space="preserve">Conch Crawler</t>
  </si>
  <si>
    <t xml:space="preserve">Tide, Shell 2</t>
  </si>
  <si>
    <t xml:space="preserve">2-3; 2-4</t>
  </si>
  <si>
    <t xml:space="preserve">Shell preview (maybe). Designed card never placed.</t>
  </si>
  <si>
    <t xml:space="preserve">open-ocean-hermit-crab</t>
  </si>
  <si>
    <t xml:space="preserve">Open-Ocean Hermit Crab</t>
  </si>
  <si>
    <t xml:space="preserve">Armor 1, Tide, Molting 4, Fork, Crab Claws (for Fork) (pending)</t>
  </si>
  <si>
    <t xml:space="preserve">2-2; 2-3; 2-5 (boss)</t>
  </si>
  <si>
    <t xml:space="preserve">Coast filler; Fork -&gt; Crab Claws later.</t>
  </si>
  <si>
    <t xml:space="preserve">gull-thief</t>
  </si>
  <si>
    <t xml:space="preserve">Gull Thief</t>
  </si>
  <si>
    <t xml:space="preserve">trigger:onKill, Flying</t>
  </si>
  <si>
    <t xml:space="preserve">2-1; 2-2; 2-4</t>
  </si>
  <si>
    <t xml:space="preserve">otter-riverguard</t>
  </si>
  <si>
    <t xml:space="preserve">Otter Riverguard</t>
  </si>
  <si>
    <t xml:space="preserve">Armor 2</t>
  </si>
  <si>
    <t xml:space="preserve">2-3; 2-5 (boss)</t>
  </si>
  <si>
    <t xml:space="preserve">shell-cracker</t>
  </si>
  <si>
    <t xml:space="preserve">Shell-Cracker</t>
  </si>
  <si>
    <t xml:space="preserve">2-1; 2-4</t>
  </si>
  <si>
    <t xml:space="preserve">Otter pack common: otters cracking shells on the beach.</t>
  </si>
  <si>
    <t xml:space="preserve">pelican-diver</t>
  </si>
  <si>
    <t xml:space="preserve">Pelican Diver</t>
  </si>
  <si>
    <t xml:space="preserve">trigger:onReady, Flying</t>
  </si>
  <si>
    <t xml:space="preserve">2-4 (x1 rare spawn); 2-5 (boss)</t>
  </si>
  <si>
    <t xml:space="preserve">Rare: one copy in 2-4, two in the boss.</t>
  </si>
  <si>
    <t xml:space="preserve">sea-turtle-elder</t>
  </si>
  <si>
    <t xml:space="preserve">Sea Turtle Elder</t>
  </si>
  <si>
    <t xml:space="preserve">Armor 4, Revivificated, Tide</t>
  </si>
  <si>
    <t xml:space="preserve">2-5 (boss)</t>
  </si>
  <si>
    <t xml:space="preserve">old-shell</t>
  </si>
  <si>
    <t xml:space="preserve">The Old Shell</t>
  </si>
  <si>
    <t xml:space="preserve">Armor 3, Tide</t>
  </si>
  <si>
    <t xml:space="preserve">Heroic boss card.</t>
  </si>
  <si>
    <t xml:space="preserve">Map 2 side</t>
  </si>
  <si>
    <t xml:space="preserve">Lilypad Reach</t>
  </si>
  <si>
    <t xml:space="preserve">Freshwater</t>
  </si>
  <si>
    <t xml:space="preserve">rainmaker-frog</t>
  </si>
  <si>
    <t xml:space="preserve">Rainmaker Frog</t>
  </si>
  <si>
    <t xml:space="preserve">Rainmaker 3, Swimmer</t>
  </si>
  <si>
    <t xml:space="preserve">2-A-2; 2-A-4 (boss)</t>
  </si>
  <si>
    <t xml:space="preserve">Unique. Rainmaker (maybe): the pond calls the rain.</t>
  </si>
  <si>
    <t xml:space="preserve">puddle-hopper</t>
  </si>
  <si>
    <t xml:space="preserve">Puddle Hopper</t>
  </si>
  <si>
    <t xml:space="preserve">2-A-1; 2-A-3</t>
  </si>
  <si>
    <t xml:space="preserve">Unique: the lily-pad frog.</t>
  </si>
  <si>
    <t xml:space="preserve">minnow-skitter</t>
  </si>
  <si>
    <t xml:space="preserve">Minnow Skitter</t>
  </si>
  <si>
    <t xml:space="preserve">river-carp</t>
  </si>
  <si>
    <t xml:space="preserve">River Carp</t>
  </si>
  <si>
    <t xml:space="preserve">2-A-3; 2-A-4 (boss)</t>
  </si>
  <si>
    <t xml:space="preserve">pond-paddler</t>
  </si>
  <si>
    <t xml:space="preserve">Pond Paddler</t>
  </si>
  <si>
    <t xml:space="preserve">2-A-2 (x1 rare spawn); 2-A-4 (boss)</t>
  </si>
  <si>
    <t xml:space="preserve">The pond's angry duck. Sheet says Rare: fine as the boss rare.</t>
  </si>
  <si>
    <t xml:space="preserve">2-A-1; 2-A-2</t>
  </si>
  <si>
    <t xml:space="preserve">duckling</t>
  </si>
  <si>
    <t xml:space="preserve">Duckling</t>
  </si>
  <si>
    <t xml:space="preserve">2-A-2</t>
  </si>
  <si>
    <t xml:space="preserve">2-A-1</t>
  </si>
  <si>
    <t xml:space="preserve">moved from Map 4, The Old Bramble (Map 0 side); also stays on Map 0, Tutorial (Map 0 side)</t>
  </si>
  <si>
    <t xml:space="preserve">2-A-3</t>
  </si>
  <si>
    <t xml:space="preserve">Smugglers' Grotto</t>
  </si>
  <si>
    <t xml:space="preserve">Sea cave</t>
  </si>
  <si>
    <t xml:space="preserve">octopus-tactician</t>
  </si>
  <si>
    <t xml:space="preserve">Octopus Tactician</t>
  </si>
  <si>
    <t xml:space="preserve">Cleave 1, Tide</t>
  </si>
  <si>
    <t xml:space="preserve">2-B-4 (boss)</t>
  </si>
  <si>
    <t xml:space="preserve">Unique boss (rare).</t>
  </si>
  <si>
    <t xml:space="preserve">lantern-spark-fly</t>
  </si>
  <si>
    <t xml:space="preserve">Lantern Spark Fly</t>
  </si>
  <si>
    <t xml:space="preserve">Flying, Lantern</t>
  </si>
  <si>
    <t xml:space="preserve">2-B-1; 2-B-3</t>
  </si>
  <si>
    <t xml:space="preserve">Unique. Lantern (maybe): the first light in the first pitch-black map.</t>
  </si>
  <si>
    <t xml:space="preserve">cave-olm</t>
  </si>
  <si>
    <t xml:space="preserve">Cave Olm</t>
  </si>
  <si>
    <t xml:space="preserve">Darksight, Regeneration 1</t>
  </si>
  <si>
    <t xml:space="preserve">Darksight first appears with the darkness field (a blind cave salamander).</t>
  </si>
  <si>
    <t xml:space="preserve">2-B-2; 2-B-4 (boss)</t>
  </si>
  <si>
    <t xml:space="preserve">The smugglers: met first in 0-3.</t>
  </si>
  <si>
    <t xml:space="preserve">2-B-2</t>
  </si>
  <si>
    <t xml:space="preserve">2-B-1</t>
  </si>
  <si>
    <t xml:space="preserve">2-B-3; 2-B-4 (boss)</t>
  </si>
  <si>
    <t xml:space="preserve">2-B-3</t>
  </si>
  <si>
    <t xml:space="preserve">Map 3</t>
  </si>
  <si>
    <t xml:space="preserve">Gannet Cliffs</t>
  </si>
  <si>
    <t xml:space="preserve">Sea cliffs</t>
  </si>
  <si>
    <t xml:space="preserve">(new)</t>
  </si>
  <si>
    <t xml:space="preserve">Gannet (new)</t>
  </si>
  <si>
    <t xml:space="preserve">Flying, Pounce 1</t>
  </si>
  <si>
    <t xml:space="preserve">3-1; 3-2; 3-4; 3-5</t>
  </si>
  <si>
    <t xml:space="preserve">new card (to design)</t>
  </si>
  <si>
    <t xml:space="preserve">The cliffs are named for it and no common gannet exists. Dives onto the front unit. Pounce, on the bird the map is named for.</t>
  </si>
  <si>
    <t xml:space="preserve">Puffin (new)</t>
  </si>
  <si>
    <t xml:space="preserve">Flying, Swimmer</t>
  </si>
  <si>
    <t xml:space="preserve">3-1; 3-3; 3-5</t>
  </si>
  <si>
    <t xml:space="preserve">Cliff-burrow seabird; carries Map 2 Tide/Swimmer up the cliff.</t>
  </si>
  <si>
    <t xml:space="preserve">hawk-arrowkeeper</t>
  </si>
  <si>
    <t xml:space="preserve">Hawk Arrowkeeper</t>
  </si>
  <si>
    <t xml:space="preserve">Flying, Diurnal, Pounce 2</t>
  </si>
  <si>
    <t xml:space="preserve">3-1; 3-2; 3-3</t>
  </si>
  <si>
    <t xml:space="preserve">Pounce + Diurnal.</t>
  </si>
  <si>
    <t xml:space="preserve">eagle-sharpshooter</t>
  </si>
  <si>
    <t xml:space="preserve">Eagle Sharpshooter</t>
  </si>
  <si>
    <t xml:space="preserve">Flying, Diurnal, Arrow 2</t>
  </si>
  <si>
    <t xml:space="preserve">3-2; 3-4; 3-6 (boss)</t>
  </si>
  <si>
    <t xml:space="preserve">moved from Tutorial (Map 0 side); also stays on Map 21</t>
  </si>
  <si>
    <t xml:space="preserve">Arrow is taught here (a sea eagle).</t>
  </si>
  <si>
    <t xml:space="preserve">mountain-goat-climber</t>
  </si>
  <si>
    <t xml:space="preserve">Mountain Goat Climber</t>
  </si>
  <si>
    <t xml:space="preserve">Evasive</t>
  </si>
  <si>
    <t xml:space="preserve">3-1; 3-3; 3-4</t>
  </si>
  <si>
    <t xml:space="preserve">Evasive is taught here. Sheet says Rare: relabel Common.</t>
  </si>
  <si>
    <t xml:space="preserve">harbor-seal</t>
  </si>
  <si>
    <t xml:space="preserve">Harbor Seal</t>
  </si>
  <si>
    <t xml:space="preserve">Swimmer, Evasive</t>
  </si>
  <si>
    <t xml:space="preserve">3-3; 3-5</t>
  </si>
  <si>
    <t xml:space="preserve">Evasive + Swimmer at the cliff foot.</t>
  </si>
  <si>
    <t xml:space="preserve">3-1; 3-2</t>
  </si>
  <si>
    <t xml:space="preserve">3-3 (x1 rare spawn)</t>
  </si>
  <si>
    <t xml:space="preserve">duck-paddler</t>
  </si>
  <si>
    <t xml:space="preserve">Duck Paddler</t>
  </si>
  <si>
    <t xml:space="preserve">3-2</t>
  </si>
  <si>
    <t xml:space="preserve">3-1</t>
  </si>
  <si>
    <t xml:space="preserve">raven-scout</t>
  </si>
  <si>
    <t xml:space="preserve">Raven Scout</t>
  </si>
  <si>
    <t xml:space="preserve">Flying, Pounce 2</t>
  </si>
  <si>
    <t xml:space="preserve">3-4 (x1 rare spawn)</t>
  </si>
  <si>
    <t xml:space="preserve">Ravens nest on sea cliffs: one copy (rare spawn).</t>
  </si>
  <si>
    <t xml:space="preserve">Peregrine (new)</t>
  </si>
  <si>
    <t xml:space="preserve">Flying, Quick</t>
  </si>
  <si>
    <t xml:space="preserve">3-5 (x1 rare spawn); 3-6 (boss)</t>
  </si>
  <si>
    <t xml:space="preserve">The only honest home for Quick on a sea cliff. One copy, rare spawn in 3-5, and in the boss deck. Quick (maybe), only if you make this card.</t>
  </si>
  <si>
    <t xml:space="preserve">golden-eagle-diver</t>
  </si>
  <si>
    <t xml:space="preserve">Golden Eagle Diver</t>
  </si>
  <si>
    <t xml:space="preserve">Flying, Diurnal, Pounce 3</t>
  </si>
  <si>
    <t xml:space="preserve">3-6 (boss)</t>
  </si>
  <si>
    <t xml:space="preserve">the-gannet-queen</t>
  </si>
  <si>
    <t xml:space="preserve">The Gannet Queen</t>
  </si>
  <si>
    <t xml:space="preserve">Map 4</t>
  </si>
  <si>
    <t xml:space="preserve">Sunken Hollow</t>
  </si>
  <si>
    <t xml:space="preserve">Freshwater lowland</t>
  </si>
  <si>
    <t xml:space="preserve">beaver-builder</t>
  </si>
  <si>
    <t xml:space="preserve">Beaver Builder</t>
  </si>
  <si>
    <t xml:space="preserve">4-1; 4-2; 4-3; 4-5 (elite)</t>
  </si>
  <si>
    <t xml:space="preserve">The beavers flooded this hollow: it is their dam.</t>
  </si>
  <si>
    <t xml:space="preserve">beaver-lumberjack</t>
  </si>
  <si>
    <t xml:space="preserve">Beaver Lumberjack</t>
  </si>
  <si>
    <t xml:space="preserve">Worthy 2</t>
  </si>
  <si>
    <t xml:space="preserve">4-1; 4-4</t>
  </si>
  <si>
    <t xml:space="preserve">moved from Basalt Foundry (Map 19 side), Lilypad Reach (Map 2 side), Map 20</t>
  </si>
  <si>
    <t xml:space="preserve">badger-lumberjack</t>
  </si>
  <si>
    <t xml:space="preserve">Badger Lumberjack</t>
  </si>
  <si>
    <t xml:space="preserve">Lumberjack</t>
  </si>
  <si>
    <t xml:space="preserve">4-2; 4-4; 4-5 (elite)</t>
  </si>
  <si>
    <t xml:space="preserve">Lumberjack is taught here.</t>
  </si>
  <si>
    <t xml:space="preserve">dam-wall</t>
  </si>
  <si>
    <t xml:space="preserve">Dam Wall</t>
  </si>
  <si>
    <t xml:space="preserve">4-2; 4-3</t>
  </si>
  <si>
    <t xml:space="preserve">Structure.</t>
  </si>
  <si>
    <t xml:space="preserve">lodge-engineer</t>
  </si>
  <si>
    <t xml:space="preserve">Lodge Engineer</t>
  </si>
  <si>
    <t xml:space="preserve">onReadyGold 1</t>
  </si>
  <si>
    <t xml:space="preserve">4-3; 4-5 (elite)</t>
  </si>
  <si>
    <t xml:space="preserve">moved from Lilypad Reach (Map 2 side), Map 19</t>
  </si>
  <si>
    <t xml:space="preserve">Lumber economy (makes gold when Ready).</t>
  </si>
  <si>
    <t xml:space="preserve">ford-kingfisher</t>
  </si>
  <si>
    <t xml:space="preserve">Ford Kingfisher</t>
  </si>
  <si>
    <t xml:space="preserve">4-2; 4-4</t>
  </si>
  <si>
    <t xml:space="preserve">moved from Lilypad Reach (Map 2 side)</t>
  </si>
  <si>
    <t xml:space="preserve">Pack uncommon seen before sold.</t>
  </si>
  <si>
    <t xml:space="preserve">stone-turtle-warden</t>
  </si>
  <si>
    <t xml:space="preserve">Stone Turtle Warden</t>
  </si>
  <si>
    <t xml:space="preserve">Armor 4, Swimmer</t>
  </si>
  <si>
    <t xml:space="preserve">4-3; 4-4</t>
  </si>
  <si>
    <t xml:space="preserve">elder-tortoise</t>
  </si>
  <si>
    <t xml:space="preserve">Elder Tortoise</t>
  </si>
  <si>
    <t xml:space="preserve">Regeneration 3, trigger:onSpawn, Swimmer</t>
  </si>
  <si>
    <t xml:space="preserve">4-4; 4-6 (boss)</t>
  </si>
  <si>
    <t xml:space="preserve">4-1</t>
  </si>
  <si>
    <t xml:space="preserve">new here (also stays on Lilypad Reach (Map 2 side))</t>
  </si>
  <si>
    <t xml:space="preserve">ferry-toll-frog</t>
  </si>
  <si>
    <t xml:space="preserve">Ferry Toll-Frog</t>
  </si>
  <si>
    <t xml:space="preserve">trigger:onKill, Swimmer</t>
  </si>
  <si>
    <t xml:space="preserve">4-1; 4-3</t>
  </si>
  <si>
    <t xml:space="preserve">Pack common seen before sold.</t>
  </si>
  <si>
    <t xml:space="preserve">riverside-peddler</t>
  </si>
  <si>
    <t xml:space="preserve">Riverside Peddler</t>
  </si>
  <si>
    <t xml:space="preserve">4-2</t>
  </si>
  <si>
    <t xml:space="preserve">Road-folk mouse trading at the dam. Pack common seen before sold.</t>
  </si>
  <si>
    <t xml:space="preserve">truce-heron</t>
  </si>
  <si>
    <t xml:space="preserve">Truce Heron</t>
  </si>
  <si>
    <t xml:space="preserve">Flying, Guardian</t>
  </si>
  <si>
    <t xml:space="preserve">4-5 (elite)</t>
  </si>
  <si>
    <t xml:space="preserve">Guardian is taught here: a heron standing guard. Pack rare seen before sold.</t>
  </si>
  <si>
    <t xml:space="preserve">riverworks-bastion</t>
  </si>
  <si>
    <t xml:space="preserve">Riverworks Bastion</t>
  </si>
  <si>
    <t xml:space="preserve">4-5 (elite); 4-6 (boss)</t>
  </si>
  <si>
    <t xml:space="preserve">pike-lancer</t>
  </si>
  <si>
    <t xml:space="preserve">Pike Lancer</t>
  </si>
  <si>
    <t xml:space="preserve">4-4 (x1 rare spawn); 4-6 (boss)</t>
  </si>
  <si>
    <t xml:space="preserve">moved from Lilypad Reach (Map 2 side), Map 9</t>
  </si>
  <si>
    <t xml:space="preserve">heartwood-treant</t>
  </si>
  <si>
    <t xml:space="preserve">Heartwood Treant</t>
  </si>
  <si>
    <t xml:space="preserve">Timber</t>
  </si>
  <si>
    <t xml:space="preserve">4-6 (boss)</t>
  </si>
  <si>
    <t xml:space="preserve">Timber (maybe): a drowned tree that woke up.</t>
  </si>
  <si>
    <t xml:space="preserve">drowned-matriarch</t>
  </si>
  <si>
    <t xml:space="preserve">The Drowned Matriarch</t>
  </si>
  <si>
    <t xml:space="preserve">Tide, Fork</t>
  </si>
  <si>
    <t xml:space="preserve">Map 5</t>
  </si>
  <si>
    <t xml:space="preserve">Gatorback Swamp</t>
  </si>
  <si>
    <t xml:space="preserve">Swamp</t>
  </si>
  <si>
    <t xml:space="preserve">grass-viper</t>
  </si>
  <si>
    <t xml:space="preserve">Grass Viper</t>
  </si>
  <si>
    <t xml:space="preserve">Poison 1, Shedding 3</t>
  </si>
  <si>
    <t xml:space="preserve">5-1; 5-3</t>
  </si>
  <si>
    <t xml:space="preserve">Poison + Shedding. Sheet says Rare: relabel Uncommon.</t>
  </si>
  <si>
    <t xml:space="preserve">bog-leech</t>
  </si>
  <si>
    <t xml:space="preserve">Bog Leech</t>
  </si>
  <si>
    <t xml:space="preserve">Bleed 1</t>
  </si>
  <si>
    <t xml:space="preserve">5-1; 5-2; 5-4</t>
  </si>
  <si>
    <t xml:space="preserve">Bleed is taught here. Sheet says Rare: relabel Common.</t>
  </si>
  <si>
    <t xml:space="preserve">marsh-gas-toad</t>
  </si>
  <si>
    <t xml:space="preserve">Marsh Gas Toad</t>
  </si>
  <si>
    <t xml:space="preserve">explode</t>
  </si>
  <si>
    <t xml:space="preserve">5-2; 5-4</t>
  </si>
  <si>
    <t xml:space="preserve">Explode (maybe).</t>
  </si>
  <si>
    <t xml:space="preserve">caiman-hatchling</t>
  </si>
  <si>
    <t xml:space="preserve">Caiman Hatchling</t>
  </si>
  <si>
    <t xml:space="preserve">Quick</t>
  </si>
  <si>
    <t xml:space="preserve">5-1; 5-3; 5-4</t>
  </si>
  <si>
    <t xml:space="preserve">venomlord-serpent</t>
  </si>
  <si>
    <t xml:space="preserve">Venomlord Serpent</t>
  </si>
  <si>
    <t xml:space="preserve">Poison 3, Ambush</t>
  </si>
  <si>
    <t xml:space="preserve">5-4; 5-5 (elite); 5-6 (boss)</t>
  </si>
  <si>
    <t xml:space="preserve">Ambush is taught here; Poison 3.</t>
  </si>
  <si>
    <t xml:space="preserve">snapper-hatchling</t>
  </si>
  <si>
    <t xml:space="preserve">Snapper Hatchling</t>
  </si>
  <si>
    <t xml:space="preserve">5-1; 5-2</t>
  </si>
  <si>
    <t xml:space="preserve">mudpuppy</t>
  </si>
  <si>
    <t xml:space="preserve">Mudpuppy</t>
  </si>
  <si>
    <t xml:space="preserve">Regeneration 1, Swimmer</t>
  </si>
  <si>
    <t xml:space="preserve">5-2; 5-3</t>
  </si>
  <si>
    <t xml:space="preserve">baby-horned-capybara</t>
  </si>
  <si>
    <t xml:space="preserve">Baby Horned Capybara</t>
  </si>
  <si>
    <t xml:space="preserve">constrictor-coil</t>
  </si>
  <si>
    <t xml:space="preserve">Constrictor Coil</t>
  </si>
  <si>
    <t xml:space="preserve">Cleave 1</t>
  </si>
  <si>
    <t xml:space="preserve">5-3; 5-5 (elite)</t>
  </si>
  <si>
    <t xml:space="preserve">teatime-toad</t>
  </si>
  <si>
    <t xml:space="preserve">Teatime Toad</t>
  </si>
  <si>
    <t xml:space="preserve">Regeneration 2</t>
  </si>
  <si>
    <t xml:space="preserve">5-3</t>
  </si>
  <si>
    <t xml:space="preserve">mallard-marauder</t>
  </si>
  <si>
    <t xml:space="preserve">Mallard Marauder</t>
  </si>
  <si>
    <t xml:space="preserve">5-4 (x1 rare spawn)</t>
  </si>
  <si>
    <t xml:space="preserve">Moved off the Lilypad boss: its Pounce waits until the cliffs teach it.</t>
  </si>
  <si>
    <t xml:space="preserve">swamp-alligator</t>
  </si>
  <si>
    <t xml:space="preserve">Swamp Alligator</t>
  </si>
  <si>
    <t xml:space="preserve">5-5 (elite); 5-6 (boss)</t>
  </si>
  <si>
    <t xml:space="preserve">moved from Map 6</t>
  </si>
  <si>
    <t xml:space="preserve">bog-behemoth</t>
  </si>
  <si>
    <t xml:space="preserve">Bog Behemoth</t>
  </si>
  <si>
    <t xml:space="preserve">Nocturnal, Regeneration 3</t>
  </si>
  <si>
    <t xml:space="preserve">5-6 (boss)</t>
  </si>
  <si>
    <t xml:space="preserve">old-snapjaw</t>
  </si>
  <si>
    <t xml:space="preserve">Old Snapjaw</t>
  </si>
  <si>
    <t xml:space="preserve">Bleed 1, Armor 1</t>
  </si>
  <si>
    <t xml:space="preserve">Map 5 side</t>
  </si>
  <si>
    <t xml:space="preserve">The Sunken Grove</t>
  </si>
  <si>
    <t xml:space="preserve">newt-doctor</t>
  </si>
  <si>
    <t xml:space="preserve">Newt Doctor</t>
  </si>
  <si>
    <t xml:space="preserve">Healing 1</t>
  </si>
  <si>
    <t xml:space="preserve">5-A-1; 5-A-3; 5-A-4 (boss)</t>
  </si>
  <si>
    <t xml:space="preserve">Unique. Healing: the swamp medicine you asked for.</t>
  </si>
  <si>
    <t xml:space="preserve">cypress-root-lurker</t>
  </si>
  <si>
    <t xml:space="preserve">Cypress Root Lurker</t>
  </si>
  <si>
    <t xml:space="preserve">Guardian</t>
  </si>
  <si>
    <t xml:space="preserve">5-A-2; 5-A-4 (boss)</t>
  </si>
  <si>
    <t xml:space="preserve">Unique: the drowned forest's roots.</t>
  </si>
  <si>
    <t xml:space="preserve">5-A-1</t>
  </si>
  <si>
    <t xml:space="preserve">5-A-1; 5-A-2</t>
  </si>
  <si>
    <t xml:space="preserve">5-A-2</t>
  </si>
  <si>
    <t xml:space="preserve">5-A-3</t>
  </si>
  <si>
    <t xml:space="preserve">5-A-4 (boss)</t>
  </si>
  <si>
    <t xml:space="preserve">Map 6</t>
  </si>
  <si>
    <t xml:space="preserve">Sable Swampmire</t>
  </si>
  <si>
    <t xml:space="preserve">Swamp (night)</t>
  </si>
  <si>
    <t xml:space="preserve">gangrenous-leech</t>
  </si>
  <si>
    <t xml:space="preserve">Gangrenous Leech</t>
  </si>
  <si>
    <t xml:space="preserve">Poison 2, Fester</t>
  </si>
  <si>
    <t xml:space="preserve">6-1; 6-3; 6-5 (elite)</t>
  </si>
  <si>
    <t xml:space="preserve">Fester is taught here.</t>
  </si>
  <si>
    <t xml:space="preserve">marsh-wisp</t>
  </si>
  <si>
    <t xml:space="preserve">Marsh Wisp</t>
  </si>
  <si>
    <t xml:space="preserve">Remember 2, trigger:onDeath</t>
  </si>
  <si>
    <t xml:space="preserve">6-1; 6-2</t>
  </si>
  <si>
    <t xml:space="preserve">Remember is taught here (marsh gas, not magic).</t>
  </si>
  <si>
    <t xml:space="preserve">willow-o-wisp</t>
  </si>
  <si>
    <t xml:space="preserve">Willow-o'-Wisp</t>
  </si>
  <si>
    <t xml:space="preserve">Nocturnal, trigger:onAllyDie, trigger:onDeath</t>
  </si>
  <si>
    <t xml:space="preserve">6-2; 6-4</t>
  </si>
  <si>
    <t xml:space="preserve">echo-keeper</t>
  </si>
  <si>
    <t xml:space="preserve">Echo Keeper</t>
  </si>
  <si>
    <t xml:space="preserve">trigger:onSpawn</t>
  </si>
  <si>
    <t xml:space="preserve">6-2; 6-3</t>
  </si>
  <si>
    <t xml:space="preserve">vampire-bat</t>
  </si>
  <si>
    <t xml:space="preserve">Vampire Bat</t>
  </si>
  <si>
    <t xml:space="preserve">Flying, Nocturnal, sap</t>
  </si>
  <si>
    <t xml:space="preserve">6-3; 6-4</t>
  </si>
  <si>
    <t xml:space="preserve">Sap (maybe).</t>
  </si>
  <si>
    <t xml:space="preserve">mire-witch-heron</t>
  </si>
  <si>
    <t xml:space="preserve">Mire Witch-Heron</t>
  </si>
  <si>
    <t xml:space="preserve">Render, Flying</t>
  </si>
  <si>
    <t xml:space="preserve">6-1; 6-4</t>
  </si>
  <si>
    <t xml:space="preserve">Render (maybe).</t>
  </si>
  <si>
    <t xml:space="preserve">rot-swollen-carcass</t>
  </si>
  <si>
    <t xml:space="preserve">Rot-Swollen Carcass</t>
  </si>
  <si>
    <t xml:space="preserve">onDeathSpawn, trigger:onSpawn</t>
  </si>
  <si>
    <t xml:space="preserve">6-2; 6-5 (elite)</t>
  </si>
  <si>
    <t xml:space="preserve">crocodile-ambusher</t>
  </si>
  <si>
    <t xml:space="preserve">Crocodile Ambusher</t>
  </si>
  <si>
    <t xml:space="preserve">6-3; 6-5 (elite); 6-6 (boss)</t>
  </si>
  <si>
    <t xml:space="preserve">6-1</t>
  </si>
  <si>
    <t xml:space="preserve">Rare as regular filler: relabel Uncommon, or keep it to one copy.</t>
  </si>
  <si>
    <t xml:space="preserve">6-3</t>
  </si>
  <si>
    <t xml:space="preserve">adder-ambusher</t>
  </si>
  <si>
    <t xml:space="preserve">Adder Ambusher</t>
  </si>
  <si>
    <t xml:space="preserve">Poison 2, Shedding 3</t>
  </si>
  <si>
    <t xml:space="preserve">6-5 (elite)</t>
  </si>
  <si>
    <t xml:space="preserve">bog-revenant</t>
  </si>
  <si>
    <t xml:space="preserve">Bog Revenant</t>
  </si>
  <si>
    <t xml:space="preserve">Remember 3, trigger:onDeath</t>
  </si>
  <si>
    <t xml:space="preserve">6-6 (boss)</t>
  </si>
  <si>
    <t xml:space="preserve">the-unremembered</t>
  </si>
  <si>
    <t xml:space="preserve">The Unremembered</t>
  </si>
  <si>
    <t xml:space="preserve">Remember 3, trigger:onSpawn, trigger:onDeath</t>
  </si>
  <si>
    <t xml:space="preserve">heron-hag</t>
  </si>
  <si>
    <t xml:space="preserve">The Heron Hag</t>
  </si>
  <si>
    <t xml:space="preserve">Flying, Poison 2</t>
  </si>
  <si>
    <t xml:space="preserve">Map 7</t>
  </si>
  <si>
    <t xml:space="preserve">The Morel Hollow</t>
  </si>
  <si>
    <t xml:space="preserve">Fungal woodland</t>
  </si>
  <si>
    <t xml:space="preserve">fungal-colossus</t>
  </si>
  <si>
    <t xml:space="preserve">Fungal Colossus</t>
  </si>
  <si>
    <t xml:space="preserve">onDeathSpawn, Bloom 1 (pending)</t>
  </si>
  <si>
    <t xml:space="preserve">7-3; 7-5 (elite); 7-6 (boss)</t>
  </si>
  <si>
    <t xml:space="preserve">Bloom (maybe): your "fungal Bloom" note.</t>
  </si>
  <si>
    <t xml:space="preserve">compost-grub</t>
  </si>
  <si>
    <t xml:space="preserve">Compost Grub</t>
  </si>
  <si>
    <t xml:space="preserve">7-1; 7-2; 7-4</t>
  </si>
  <si>
    <t xml:space="preserve">nightshade-moth</t>
  </si>
  <si>
    <t xml:space="preserve">Nightshade Moth</t>
  </si>
  <si>
    <t xml:space="preserve">sleep, Flying, Nocturnal</t>
  </si>
  <si>
    <t xml:space="preserve">7-1; 7-3; 7-4</t>
  </si>
  <si>
    <t xml:space="preserve">Sleep is taught here (spores).</t>
  </si>
  <si>
    <t xml:space="preserve">dung-beetle</t>
  </si>
  <si>
    <t xml:space="preserve">Dung Beetle</t>
  </si>
  <si>
    <t xml:space="preserve">Decay 1</t>
  </si>
  <si>
    <t xml:space="preserve">7-1; 7-2</t>
  </si>
  <si>
    <t xml:space="preserve">Decay is taught here.</t>
  </si>
  <si>
    <t xml:space="preserve">bombardier-beetle</t>
  </si>
  <si>
    <t xml:space="preserve">Bombardier Beetle</t>
  </si>
  <si>
    <t xml:space="preserve">Rocket 4</t>
  </si>
  <si>
    <t xml:space="preserve">7-4; 7-5 (elite)</t>
  </si>
  <si>
    <t xml:space="preserve">Rocket: an animal-specific one-off.</t>
  </si>
  <si>
    <t xml:space="preserve">blister-beetle</t>
  </si>
  <si>
    <t xml:space="preserve">Blister Beetle</t>
  </si>
  <si>
    <t xml:space="preserve">trigger:onDeath</t>
  </si>
  <si>
    <t xml:space="preserve">7-2; 7-3</t>
  </si>
  <si>
    <t xml:space="preserve">hollow-oath-keeper</t>
  </si>
  <si>
    <t xml:space="preserve">Hollow Oath-Keeper</t>
  </si>
  <si>
    <t xml:space="preserve">7-3; 7-5 (elite)</t>
  </si>
  <si>
    <t xml:space="preserve">bramble-sprout</t>
  </si>
  <si>
    <t xml:space="preserve">Bramble Sprout</t>
  </si>
  <si>
    <t xml:space="preserve">7-2; 7-4</t>
  </si>
  <si>
    <t xml:space="preserve">rootworm-colony</t>
  </si>
  <si>
    <t xml:space="preserve">Rootworm Colony</t>
  </si>
  <si>
    <t xml:space="preserve">Poison 2</t>
  </si>
  <si>
    <t xml:space="preserve">7-2</t>
  </si>
  <si>
    <t xml:space="preserve">creeper</t>
  </si>
  <si>
    <t xml:space="preserve">Creeper</t>
  </si>
  <si>
    <t xml:space="preserve">Flying, Swarm, Scare 1</t>
  </si>
  <si>
    <t xml:space="preserve">7-3; 7-4</t>
  </si>
  <si>
    <t xml:space="preserve">Your Pesky Bee: a pack-1 swarming bee, seen before sold. Scare is a preview.</t>
  </si>
  <si>
    <t xml:space="preserve">7-1</t>
  </si>
  <si>
    <t xml:space="preserve">trapdoor-spider</t>
  </si>
  <si>
    <t xml:space="preserve">Trapdoor Spider</t>
  </si>
  <si>
    <t xml:space="preserve">Poison 1</t>
  </si>
  <si>
    <t xml:space="preserve">7-3 (x1 rare spawn); 7-5 (elite)</t>
  </si>
  <si>
    <t xml:space="preserve">beetle-battering-ram</t>
  </si>
  <si>
    <t xml:space="preserve">Beetle Battering-Ram</t>
  </si>
  <si>
    <t xml:space="preserve">Cleave 1, Nocturnal, Demolisher 3</t>
  </si>
  <si>
    <t xml:space="preserve">7-5 (elite); 7-6 (boss)</t>
  </si>
  <si>
    <t xml:space="preserve">Map 7 side</t>
  </si>
  <si>
    <t xml:space="preserve">The Mycelium Deep</t>
  </si>
  <si>
    <t xml:space="preserve">Underground (fungal)</t>
  </si>
  <si>
    <t xml:space="preserve">puffball-bombardier</t>
  </si>
  <si>
    <t xml:space="preserve">Puffball Bombardier</t>
  </si>
  <si>
    <t xml:space="preserve">Arrow 1, Poison 1</t>
  </si>
  <si>
    <t xml:space="preserve">7-A-1; 7-A-2; 7-A-4 (boss)</t>
  </si>
  <si>
    <t xml:space="preserve">Unique: the walking puffball from your Wild Veggies note, as a preview.</t>
  </si>
  <si>
    <t xml:space="preserve">webspire-sentinel</t>
  </si>
  <si>
    <t xml:space="preserve">Webspire Sentinel</t>
  </si>
  <si>
    <t xml:space="preserve">7-A-2; 7-A-4 (boss)</t>
  </si>
  <si>
    <t xml:space="preserve">Unique.</t>
  </si>
  <si>
    <t xml:space="preserve">carrion-fly-swarm</t>
  </si>
  <si>
    <t xml:space="preserve">Carrion Fly Swarm</t>
  </si>
  <si>
    <t xml:space="preserve">Poison 1, Flying, Brood 1</t>
  </si>
  <si>
    <t xml:space="preserve">7-A-3</t>
  </si>
  <si>
    <t xml:space="preserve">Unique. Brood (maybe).</t>
  </si>
  <si>
    <t xml:space="preserve">gorge-wyrm</t>
  </si>
  <si>
    <t xml:space="preserve">Gorge Wyrm</t>
  </si>
  <si>
    <t xml:space="preserve">Cleave 1, Earthquake 3</t>
  </si>
  <si>
    <t xml:space="preserve">7-A-4 (boss)</t>
  </si>
  <si>
    <t xml:space="preserve">Unique boss. Earthquake: one-off on the giant worm.</t>
  </si>
  <si>
    <t xml:space="preserve">7-A-1</t>
  </si>
  <si>
    <t xml:space="preserve">7-A-1; 7-A-3</t>
  </si>
  <si>
    <t xml:space="preserve">new here (also stays on Map 7)</t>
  </si>
  <si>
    <t xml:space="preserve">Map 8</t>
  </si>
  <si>
    <t xml:space="preserve">Caves &amp; Alcoves</t>
  </si>
  <si>
    <t xml:space="preserve">Underground</t>
  </si>
  <si>
    <t xml:space="preserve">voltwing-bat</t>
  </si>
  <si>
    <t xml:space="preserve">Voltwing Bat</t>
  </si>
  <si>
    <t xml:space="preserve">Flying, Nocturnal, Electricity 1</t>
  </si>
  <si>
    <t xml:space="preserve">8-1; 8-2; 8-4</t>
  </si>
  <si>
    <t xml:space="preserve">Electricity is taught here (your electric-veined bats).</t>
  </si>
  <si>
    <t xml:space="preserve">static-bat</t>
  </si>
  <si>
    <t xml:space="preserve">Static Bat</t>
  </si>
  <si>
    <t xml:space="preserve">8-3; 8-5</t>
  </si>
  <si>
    <t xml:space="preserve">quarry-mole</t>
  </si>
  <si>
    <t xml:space="preserve">Quarry Mole</t>
  </si>
  <si>
    <t xml:space="preserve">Darksight, Keen Sense</t>
  </si>
  <si>
    <t xml:space="preserve">8-2; 8-3; 8-5</t>
  </si>
  <si>
    <t xml:space="preserve">moved from Map 1</t>
  </si>
  <si>
    <t xml:space="preserve">Keen Sense is taught here; Darksight repeats.</t>
  </si>
  <si>
    <t xml:space="preserve">blind-cave-fish</t>
  </si>
  <si>
    <t xml:space="preserve">Blind Cave Fish</t>
  </si>
  <si>
    <t xml:space="preserve">Evasive, Darksight, Tide</t>
  </si>
  <si>
    <t xml:space="preserve">8-2; 8-3</t>
  </si>
  <si>
    <t xml:space="preserve">Evasive and Darksight on a fish that never saw light.</t>
  </si>
  <si>
    <t xml:space="preserve">cave-centipede</t>
  </si>
  <si>
    <t xml:space="preserve">Cave Centipede</t>
  </si>
  <si>
    <t xml:space="preserve">Quick, Poison 1, Darksight</t>
  </si>
  <si>
    <t xml:space="preserve">8-1; 8-4</t>
  </si>
  <si>
    <t xml:space="preserve">baby-bat</t>
  </si>
  <si>
    <t xml:space="preserve">Baby Bat</t>
  </si>
  <si>
    <t xml:space="preserve">Flying, Nocturnal</t>
  </si>
  <si>
    <t xml:space="preserve">8-1; 8-2</t>
  </si>
  <si>
    <t xml:space="preserve">cave-flitter</t>
  </si>
  <si>
    <t xml:space="preserve">Cave Flitter</t>
  </si>
  <si>
    <t xml:space="preserve">8-1; 8-3</t>
  </si>
  <si>
    <t xml:space="preserve">Sheet says Rare: relabel Common.</t>
  </si>
  <si>
    <t xml:space="preserve">sulfur-cinder-moth</t>
  </si>
  <si>
    <t xml:space="preserve">Sulfur Cinder Moth</t>
  </si>
  <si>
    <t xml:space="preserve">trigger:onDeath, Flying, Nocturnal</t>
  </si>
  <si>
    <t xml:space="preserve">ore-smelter-mole</t>
  </si>
  <si>
    <t xml:space="preserve">Ore-Smelter Mole</t>
  </si>
  <si>
    <t xml:space="preserve">Heavy Metal, trigger:onReady, Darksight, Keen Sense</t>
  </si>
  <si>
    <t xml:space="preserve">8-4</t>
  </si>
  <si>
    <t xml:space="preserve">cave-bat-swarm</t>
  </si>
  <si>
    <t xml:space="preserve">Cave Bat Swarm</t>
  </si>
  <si>
    <t xml:space="preserve">Flying, Nocturnal, Fork</t>
  </si>
  <si>
    <t xml:space="preserve">8-4 (x1 rare spawn)</t>
  </si>
  <si>
    <t xml:space="preserve">Pack rare glimpsed once.</t>
  </si>
  <si>
    <t xml:space="preserve">barrow-leech-bat</t>
  </si>
  <si>
    <t xml:space="preserve">Barrow Leech</t>
  </si>
  <si>
    <t xml:space="preserve">sap, Flying, Nocturnal</t>
  </si>
  <si>
    <t xml:space="preserve">8-5 (x1 rare spawn)</t>
  </si>
  <si>
    <t xml:space="preserve">vampire-roost</t>
  </si>
  <si>
    <t xml:space="preserve">Vampire Roost</t>
  </si>
  <si>
    <t xml:space="preserve">onDeathSpawn, Nocturnal</t>
  </si>
  <si>
    <t xml:space="preserve">8-4; 8-6 (elite)</t>
  </si>
  <si>
    <t xml:space="preserve">echo-screecher</t>
  </si>
  <si>
    <t xml:space="preserve">Echo Screecher</t>
  </si>
  <si>
    <t xml:space="preserve">onReadyDamage, Flying, Nocturnal</t>
  </si>
  <si>
    <t xml:space="preserve">8-6 (elite)</t>
  </si>
  <si>
    <t xml:space="preserve">subterraneaner</t>
  </si>
  <si>
    <t xml:space="preserve">Subterraneaner</t>
  </si>
  <si>
    <t xml:space="preserve">Stealth, Ambush, Darksight, Keen Sense</t>
  </si>
  <si>
    <t xml:space="preserve">Stealth (maybe).</t>
  </si>
  <si>
    <t xml:space="preserve">dynamite-packrat</t>
  </si>
  <si>
    <t xml:space="preserve">Dynamite Packrat</t>
  </si>
  <si>
    <t xml:space="preserve">Dynamite 3</t>
  </si>
  <si>
    <t xml:space="preserve">moved from Tutorial (Map 0 side)</t>
  </si>
  <si>
    <t xml:space="preserve">Dynamite: a cave rodent's one-off.</t>
  </si>
  <si>
    <t xml:space="preserve">arc-bat</t>
  </si>
  <si>
    <t xml:space="preserve">Arc Bat</t>
  </si>
  <si>
    <t xml:space="preserve">Flying, Nocturnal, Electricity 2</t>
  </si>
  <si>
    <t xml:space="preserve">8-6 (elite); 8-7 (boss)</t>
  </si>
  <si>
    <t xml:space="preserve">stalactite-golem</t>
  </si>
  <si>
    <t xml:space="preserve">Stalactite Golem</t>
  </si>
  <si>
    <t xml:space="preserve">Shell 4</t>
  </si>
  <si>
    <t xml:space="preserve">8-7 (boss)</t>
  </si>
  <si>
    <t xml:space="preserve">echo-matriarch</t>
  </si>
  <si>
    <t xml:space="preserve">Echo Matriarch</t>
  </si>
  <si>
    <t xml:space="preserve">Flying, Nocturnal, onReadyDamage</t>
  </si>
  <si>
    <t xml:space="preserve">Map 8 side</t>
  </si>
  <si>
    <t xml:space="preserve">The Glimmer Depths</t>
  </si>
  <si>
    <t xml:space="preserve">Underground (crystal)</t>
  </si>
  <si>
    <t xml:space="preserve">glimmer-spider</t>
  </si>
  <si>
    <t xml:space="preserve">Glimmer Spider</t>
  </si>
  <si>
    <t xml:space="preserve">Darksight, Poison 1</t>
  </si>
  <si>
    <t xml:space="preserve">8-A-1; 8-A-2; 8-A-4 (boss)</t>
  </si>
  <si>
    <t xml:space="preserve">Unique (the name was waiting for this map).</t>
  </si>
  <si>
    <t xml:space="preserve">mirror-moth</t>
  </si>
  <si>
    <t xml:space="preserve">Mirror Moth</t>
  </si>
  <si>
    <t xml:space="preserve">Flying, Evasive, Reflect 30</t>
  </si>
  <si>
    <t xml:space="preserve">8-A-2; 8-A-3</t>
  </si>
  <si>
    <t xml:space="preserve">Unique. Reflect (maybe): shiny walls.</t>
  </si>
  <si>
    <t xml:space="preserve">malachite-golem</t>
  </si>
  <si>
    <t xml:space="preserve">Malachite Golem</t>
  </si>
  <si>
    <t xml:space="preserve">Shell 4, Darksight</t>
  </si>
  <si>
    <t xml:space="preserve">8-A-4 (boss)</t>
  </si>
  <si>
    <t xml:space="preserve">Unique boss (designed, never placed).</t>
  </si>
  <si>
    <t xml:space="preserve">8-A-1</t>
  </si>
  <si>
    <t xml:space="preserve">8-A-1; 8-A-3</t>
  </si>
  <si>
    <t xml:space="preserve">8-A-2</t>
  </si>
  <si>
    <t xml:space="preserve">8-A-3</t>
  </si>
  <si>
    <t xml:space="preserve">Map 9</t>
  </si>
  <si>
    <t xml:space="preserve">The Kelp Mangroves</t>
  </si>
  <si>
    <t xml:space="preserve">Mangrove</t>
  </si>
  <si>
    <t xml:space="preserve">mangrove-mudskipper</t>
  </si>
  <si>
    <t xml:space="preserve">Mangrove Mudskipper</t>
  </si>
  <si>
    <t xml:space="preserve">Quick, Tide</t>
  </si>
  <si>
    <t xml:space="preserve">9-1; 9-2; 9-3; 9-5</t>
  </si>
  <si>
    <t xml:space="preserve">Quick is taught here: the mudskipper sprints.</t>
  </si>
  <si>
    <t xml:space="preserve">mangrove-monitor</t>
  </si>
  <si>
    <t xml:space="preserve">Mangrove Monitor</t>
  </si>
  <si>
    <t xml:space="preserve">9-2; 9-4; 9-6 (elite)</t>
  </si>
  <si>
    <t xml:space="preserve">mangrove-kingfisher</t>
  </si>
  <si>
    <t xml:space="preserve">Mangrove Kingfisher</t>
  </si>
  <si>
    <t xml:space="preserve">Evasive, Flying</t>
  </si>
  <si>
    <t xml:space="preserve">9-3 (x1 rare spawn); 9-6 (elite)</t>
  </si>
  <si>
    <t xml:space="preserve">Archerfish (new)</t>
  </si>
  <si>
    <t xml:space="preserve">Swimmer, Arrow 1</t>
  </si>
  <si>
    <t xml:space="preserve">9-1; 9-4</t>
  </si>
  <si>
    <t xml:space="preserve">Mangrove fish that spits water at insects: Arrow seen again, underwater.</t>
  </si>
  <si>
    <t xml:space="preserve">riptide-eel</t>
  </si>
  <si>
    <t xml:space="preserve">Riptide Eel</t>
  </si>
  <si>
    <t xml:space="preserve">Reload 1, Swimmer</t>
  </si>
  <si>
    <t xml:space="preserve">9-3; 9-5</t>
  </si>
  <si>
    <t xml:space="preserve">Reload is taught here: lunges, then rests.</t>
  </si>
  <si>
    <t xml:space="preserve">pufferfish-bulwark</t>
  </si>
  <si>
    <t xml:space="preserve">Pufferfish Bulwark</t>
  </si>
  <si>
    <t xml:space="preserve">9-2; 9-4</t>
  </si>
  <si>
    <t xml:space="preserve">cuttlefish-illusionist</t>
  </si>
  <si>
    <t xml:space="preserve">Cuttlefish Illusionist</t>
  </si>
  <si>
    <t xml:space="preserve">Evasive, Tide</t>
  </si>
  <si>
    <t xml:space="preserve">9-4; 9-5</t>
  </si>
  <si>
    <t xml:space="preserve">wrong-way-salmon</t>
  </si>
  <si>
    <t xml:space="preserve">Wrong-Way Salmon</t>
  </si>
  <si>
    <t xml:space="preserve">Backstab 2, Tide</t>
  </si>
  <si>
    <t xml:space="preserve">9-5</t>
  </si>
  <si>
    <t xml:space="preserve">Backstab (maybe). Pack uncommon seen before sold.</t>
  </si>
  <si>
    <t xml:space="preserve">otter-angler</t>
  </si>
  <si>
    <t xml:space="preserve">Otter Angler</t>
  </si>
  <si>
    <t xml:space="preserve">Swimmer, trigger:onReady</t>
  </si>
  <si>
    <t xml:space="preserve">9-3; 9-6 (elite)</t>
  </si>
  <si>
    <t xml:space="preserve">Sea otters in the kelp: the Legion's outposts.</t>
  </si>
  <si>
    <t xml:space="preserve">9-2</t>
  </si>
  <si>
    <t xml:space="preserve">9-1</t>
  </si>
  <si>
    <t xml:space="preserve">The smugglers' channels.</t>
  </si>
  <si>
    <t xml:space="preserve">tide-spirit</t>
  </si>
  <si>
    <t xml:space="preserve">Tide Spirit</t>
  </si>
  <si>
    <t xml:space="preserve">Tide</t>
  </si>
  <si>
    <t xml:space="preserve">9-7 (boss)</t>
  </si>
  <si>
    <t xml:space="preserve">Map 10</t>
  </si>
  <si>
    <t xml:space="preserve">Coral Current</t>
  </si>
  <si>
    <t xml:space="preserve">Open sea</t>
  </si>
  <si>
    <t xml:space="preserve">clownfish-scout</t>
  </si>
  <si>
    <t xml:space="preserve">Clownfish Scout</t>
  </si>
  <si>
    <t xml:space="preserve">Guardian, Swimmer</t>
  </si>
  <si>
    <t xml:space="preserve">10-1; 10-2; 10-3</t>
  </si>
  <si>
    <t xml:space="preserve">coral-polyp-colony</t>
  </si>
  <si>
    <t xml:space="preserve">Coral Polyp Colony</t>
  </si>
  <si>
    <t xml:space="preserve">onReadyGold 1, Tide, Bloom 1 (pending)</t>
  </si>
  <si>
    <t xml:space="preserve">10-1; 10-3</t>
  </si>
  <si>
    <t xml:space="preserve">Bloom (maybe): give it Bloom 1 for your coral note.</t>
  </si>
  <si>
    <t xml:space="preserve">moray-ambusher</t>
  </si>
  <si>
    <t xml:space="preserve">Moray Ambusher</t>
  </si>
  <si>
    <t xml:space="preserve">Stealth, Tide, Wave right</t>
  </si>
  <si>
    <t xml:space="preserve">10-2; 10-4</t>
  </si>
  <si>
    <t xml:space="preserve">coral-reef-shark</t>
  </si>
  <si>
    <t xml:space="preserve">Coral Reef Shark</t>
  </si>
  <si>
    <t xml:space="preserve">Crit, Swimmer</t>
  </si>
  <si>
    <t xml:space="preserve">10-3; 10-5; 10-6 (elite)</t>
  </si>
  <si>
    <t xml:space="preserve">Crit is taught here.</t>
  </si>
  <si>
    <t xml:space="preserve">moon-jelly</t>
  </si>
  <si>
    <t xml:space="preserve">Moon Jelly</t>
  </si>
  <si>
    <t xml:space="preserve">Tide, Poison 1, Moonpull</t>
  </si>
  <si>
    <t xml:space="preserve">10-1; 10-4</t>
  </si>
  <si>
    <t xml:space="preserve">Moonpull is taught here.</t>
  </si>
  <si>
    <t xml:space="preserve">reef-shark</t>
  </si>
  <si>
    <t xml:space="preserve">Reef Shark</t>
  </si>
  <si>
    <t xml:space="preserve">Cleave 1, Swimmer</t>
  </si>
  <si>
    <t xml:space="preserve">10-4; 10-6 (elite)</t>
  </si>
  <si>
    <t xml:space="preserve">moved from Map 9</t>
  </si>
  <si>
    <t xml:space="preserve">hammerhead-shark</t>
  </si>
  <si>
    <t xml:space="preserve">Hammerhead Shark</t>
  </si>
  <si>
    <t xml:space="preserve">Swimmer, Cleave 1</t>
  </si>
  <si>
    <t xml:space="preserve">10-2; 10-5</t>
  </si>
  <si>
    <t xml:space="preserve">reef-manta-glider</t>
  </si>
  <si>
    <t xml:space="preserve">Reef Manta Glider</t>
  </si>
  <si>
    <t xml:space="preserve">Evasive, Swimmer, Wave</t>
  </si>
  <si>
    <t xml:space="preserve">moved from Map 4, Smugglers' Grotto (Map 2 side)</t>
  </si>
  <si>
    <t xml:space="preserve">conch-herald</t>
  </si>
  <si>
    <t xml:space="preserve">Conch Herald</t>
  </si>
  <si>
    <t xml:space="preserve">Tide, Inspiring 1</t>
  </si>
  <si>
    <t xml:space="preserve">10-5</t>
  </si>
  <si>
    <t xml:space="preserve">Inspiring (maybe).</t>
  </si>
  <si>
    <t xml:space="preserve">coral-current-eel</t>
  </si>
  <si>
    <t xml:space="preserve">Coral Current Eel</t>
  </si>
  <si>
    <t xml:space="preserve">Poison 2, Swimmer</t>
  </si>
  <si>
    <t xml:space="preserve">10-3 (x1 rare spawn)</t>
  </si>
  <si>
    <t xml:space="preserve">10-6 (elite)</t>
  </si>
  <si>
    <t xml:space="preserve">dolphin-knight</t>
  </si>
  <si>
    <t xml:space="preserve">Dolphin Knight</t>
  </si>
  <si>
    <t xml:space="preserve">Swimmer, Wave alternate</t>
  </si>
  <si>
    <t xml:space="preserve">10-5 (x1 rare spawn)</t>
  </si>
  <si>
    <t xml:space="preserve">narwhal-lancer</t>
  </si>
  <si>
    <t xml:space="preserve">Narwhal Lancer</t>
  </si>
  <si>
    <t xml:space="preserve">Expose 2, Swimmer</t>
  </si>
  <si>
    <t xml:space="preserve">orca-vanguard</t>
  </si>
  <si>
    <t xml:space="preserve">Orca Vanguard</t>
  </si>
  <si>
    <t xml:space="preserve">Cleave 1, Momentum 2, Swimmer</t>
  </si>
  <si>
    <t xml:space="preserve">10-6 (elite); 10-7 (boss)</t>
  </si>
  <si>
    <t xml:space="preserve">Momentum is taught here.</t>
  </si>
  <si>
    <t xml:space="preserve">humpback-elder</t>
  </si>
  <si>
    <t xml:space="preserve">Humpback Elder</t>
  </si>
  <si>
    <t xml:space="preserve">Thorns 3, Inspiring 2, Swimmer</t>
  </si>
  <si>
    <t xml:space="preserve">10-7 (boss)</t>
  </si>
  <si>
    <t xml:space="preserve">moved from Map 4</t>
  </si>
  <si>
    <t xml:space="preserve">reef-admiral</t>
  </si>
  <si>
    <t xml:space="preserve">Reef Admiral</t>
  </si>
  <si>
    <t xml:space="preserve">Evasive, Swimmer</t>
  </si>
  <si>
    <t xml:space="preserve">Map 10 side</t>
  </si>
  <si>
    <t xml:space="preserve">The Sunken Depths</t>
  </si>
  <si>
    <t xml:space="preserve">Deep sea</t>
  </si>
  <si>
    <t xml:space="preserve">kraken-spawnling</t>
  </si>
  <si>
    <t xml:space="preserve">Kraken Spawnling</t>
  </si>
  <si>
    <t xml:space="preserve">Fork, Gash 3</t>
  </si>
  <si>
    <t xml:space="preserve">10-A-3; 10-A-4 (boss)</t>
  </si>
  <si>
    <t xml:space="preserve">Unique. Gash. Moved out of a freshwater lowland.</t>
  </si>
  <si>
    <t xml:space="preserve">voltaic-eel</t>
  </si>
  <si>
    <t xml:space="preserve">Voltaic Eel</t>
  </si>
  <si>
    <t xml:space="preserve">trigger:onSpawn, shock, Swimmer, Electricity 1</t>
  </si>
  <si>
    <t xml:space="preserve">10-A-2; 10-A-4 (boss)</t>
  </si>
  <si>
    <t xml:space="preserve">Unique. Shock + Electricity in deep water.</t>
  </si>
  <si>
    <t xml:space="preserve">nautilus-drifter</t>
  </si>
  <si>
    <t xml:space="preserve">Nautilus Drifter</t>
  </si>
  <si>
    <t xml:space="preserve">10-A-1; 10-A-3</t>
  </si>
  <si>
    <t xml:space="preserve">barnacle-fortress</t>
  </si>
  <si>
    <t xml:space="preserve">Barnacle Fortress</t>
  </si>
  <si>
    <t xml:space="preserve">Armor 5</t>
  </si>
  <si>
    <t xml:space="preserve">10-A-2</t>
  </si>
  <si>
    <t xml:space="preserve">Unique: barnacles on the ferry's hull.</t>
  </si>
  <si>
    <t xml:space="preserve">inkcloud-squid</t>
  </si>
  <si>
    <t xml:space="preserve">Inkcloud Squid</t>
  </si>
  <si>
    <t xml:space="preserve">10-A-1; 10-A-2</t>
  </si>
  <si>
    <t xml:space="preserve">Unique here (raid-source card).</t>
  </si>
  <si>
    <t xml:space="preserve">glass-octopus</t>
  </si>
  <si>
    <t xml:space="preserve">Glass Octopus</t>
  </si>
  <si>
    <t xml:space="preserve">Corrode 2, Stealth</t>
  </si>
  <si>
    <t xml:space="preserve">10-A-3</t>
  </si>
  <si>
    <t xml:space="preserve">Unique here (raid-source card). Corrode (maybe).</t>
  </si>
  <si>
    <t xml:space="preserve">colossal-squid</t>
  </si>
  <si>
    <t xml:space="preserve">Colossal Squid</t>
  </si>
  <si>
    <t xml:space="preserve">Swimmer, Fork, Gash 3</t>
  </si>
  <si>
    <t xml:space="preserve">10-A-4 (boss)</t>
  </si>
  <si>
    <t xml:space="preserve">Unique boss (placed nowhere today).</t>
  </si>
  <si>
    <t xml:space="preserve">10-A-1</t>
  </si>
  <si>
    <t xml:space="preserve">Map 11</t>
  </si>
  <si>
    <t xml:space="preserve">Eyrie Heights</t>
  </si>
  <si>
    <t xml:space="preserve">Mountain</t>
  </si>
  <si>
    <t xml:space="preserve">alpine-marmot</t>
  </si>
  <si>
    <t xml:space="preserve">Alpine Marmot</t>
  </si>
  <si>
    <t xml:space="preserve">11-1; 11-2; 11-4</t>
  </si>
  <si>
    <t xml:space="preserve">Guardian repeats: marmots stand sentry.</t>
  </si>
  <si>
    <t xml:space="preserve">rockslide-ram</t>
  </si>
  <si>
    <t xml:space="preserve">Rockslide Ram</t>
  </si>
  <si>
    <t xml:space="preserve">Sheet says Rare: relabel Uncommon.</t>
  </si>
  <si>
    <t xml:space="preserve">peak-condor</t>
  </si>
  <si>
    <t xml:space="preserve">Peak Condor</t>
  </si>
  <si>
    <t xml:space="preserve">Reload 1, Flying</t>
  </si>
  <si>
    <t xml:space="preserve">11-2; 11-3; 11-5</t>
  </si>
  <si>
    <t xml:space="preserve">Reload repeats.</t>
  </si>
  <si>
    <t xml:space="preserve">stonedrop-vulture</t>
  </si>
  <si>
    <t xml:space="preserve">Stonedrop Vulture</t>
  </si>
  <si>
    <t xml:space="preserve">Flying, Skyfall 3</t>
  </si>
  <si>
    <t xml:space="preserve">11-3; 11-5; 11-6 (elite)</t>
  </si>
  <si>
    <t xml:space="preserve">Skyfall is taught here.</t>
  </si>
  <si>
    <t xml:space="preserve">Chough Flock (new)</t>
  </si>
  <si>
    <t xml:space="preserve">Flying, Volley 1</t>
  </si>
  <si>
    <t xml:space="preserve">11-1; 11-3</t>
  </si>
  <si>
    <t xml:space="preserve">Alpine crows wheel in flocks: the natural carrier of Volley (no card has it yet). Volley is taught here.</t>
  </si>
  <si>
    <t xml:space="preserve">Kestrel (new)</t>
  </si>
  <si>
    <t xml:space="preserve">Flying, Twin Shot 1</t>
  </si>
  <si>
    <t xml:space="preserve">11-4; 11-5</t>
  </si>
  <si>
    <t xml:space="preserve">Hovers, then strikes twice: the carrier for Twin Shot (no card has it yet). Twin Shot (maybe).</t>
  </si>
  <si>
    <t xml:space="preserve">chipmunk-stockpiler</t>
  </si>
  <si>
    <t xml:space="preserve">Chipmunk Stockpiler</t>
  </si>
  <si>
    <t xml:space="preserve">11-2; 11-3</t>
  </si>
  <si>
    <t xml:space="preserve">chipmunk-hoarder</t>
  </si>
  <si>
    <t xml:space="preserve">Chipmunk Hoarder</t>
  </si>
  <si>
    <t xml:space="preserve">balloon-archer</t>
  </si>
  <si>
    <t xml:space="preserve">Balloon Archer</t>
  </si>
  <si>
    <t xml:space="preserve">Flying, Arrow 2</t>
  </si>
  <si>
    <t xml:space="preserve">11-5</t>
  </si>
  <si>
    <t xml:space="preserve">The shrine's mouse balloonist.</t>
  </si>
  <si>
    <t xml:space="preserve">11-4 (x1 rare spawn); 11-6 (elite)</t>
  </si>
  <si>
    <t xml:space="preserve">eyrie-warden</t>
  </si>
  <si>
    <t xml:space="preserve">Eyrie Warden</t>
  </si>
  <si>
    <t xml:space="preserve">onReadyDamage, Flying, Daunt 1</t>
  </si>
  <si>
    <t xml:space="preserve">11-6 (elite); 11-7 (boss)</t>
  </si>
  <si>
    <t xml:space="preserve">Daunt is taught here.</t>
  </si>
  <si>
    <t xml:space="preserve">alpine-avalanche</t>
  </si>
  <si>
    <t xml:space="preserve">Alpine Avalanche</t>
  </si>
  <si>
    <t xml:space="preserve">Fork, Avalanche (pending)</t>
  </si>
  <si>
    <t xml:space="preserve">11-7 (boss)</t>
  </si>
  <si>
    <t xml:space="preserve">Give it the Avalanche one-off on the sheet.</t>
  </si>
  <si>
    <t xml:space="preserve">storm-heron</t>
  </si>
  <si>
    <t xml:space="preserve">Storm Heron</t>
  </si>
  <si>
    <t xml:space="preserve">Lightning 3</t>
  </si>
  <si>
    <t xml:space="preserve">Lightning (maybe).</t>
  </si>
  <si>
    <t xml:space="preserve">Map 11 side</t>
  </si>
  <si>
    <t xml:space="preserve">The Aerie Vault</t>
  </si>
  <si>
    <t xml:space="preserve">raven-harbinger</t>
  </si>
  <si>
    <t xml:space="preserve">Raven Harbinger</t>
  </si>
  <si>
    <t xml:space="preserve">Poison 2, Flying</t>
  </si>
  <si>
    <t xml:space="preserve">11-A-1; 11-A-2</t>
  </si>
  <si>
    <t xml:space="preserve">Unique: ravens in the oldest nests.</t>
  </si>
  <si>
    <t xml:space="preserve">bone-diviner</t>
  </si>
  <si>
    <t xml:space="preserve">Bone Diviner</t>
  </si>
  <si>
    <t xml:space="preserve">11-A-3; 11-A-4 (boss)</t>
  </si>
  <si>
    <t xml:space="preserve">11-A-1; 11-A-3</t>
  </si>
  <si>
    <t xml:space="preserve">11-A-2</t>
  </si>
  <si>
    <t xml:space="preserve">11-A-1</t>
  </si>
  <si>
    <t xml:space="preserve">11-A-3</t>
  </si>
  <si>
    <t xml:space="preserve">moved from Map 3; also stays on Map 11, Map 21</t>
  </si>
  <si>
    <t xml:space="preserve">11-A-4 (boss)</t>
  </si>
  <si>
    <t xml:space="preserve">Replaces Wound Reaver (a volcanic elemental) as the Roost Mother's guard.</t>
  </si>
  <si>
    <t xml:space="preserve">Map 12</t>
  </si>
  <si>
    <t xml:space="preserve">The Briar Maze</t>
  </si>
  <si>
    <t xml:space="preserve">Hedgerow (briar)</t>
  </si>
  <si>
    <t xml:space="preserve">hedge-changeling</t>
  </si>
  <si>
    <t xml:space="preserve">Hedge Changeling</t>
  </si>
  <si>
    <t xml:space="preserve">Changeling, Swarm</t>
  </si>
  <si>
    <t xml:space="preserve">12-2; 12-4; 12-6 (elite)</t>
  </si>
  <si>
    <t xml:space="preserve">Changeling is taught here: the maze lies to you.</t>
  </si>
  <si>
    <t xml:space="preserve">warren-scout</t>
  </si>
  <si>
    <t xml:space="preserve">Warren Scout</t>
  </si>
  <si>
    <t xml:space="preserve">Keen Eye</t>
  </si>
  <si>
    <t xml:space="preserve">12-1; 12-3; 12-5</t>
  </si>
  <si>
    <t xml:space="preserve">Keen Eye is taught here (and sees through the changelings). Sheet says Rare: relabel Uncommon.</t>
  </si>
  <si>
    <t xml:space="preserve">gatling-hog</t>
  </si>
  <si>
    <t xml:space="preserve">Gatling Hog</t>
  </si>
  <si>
    <t xml:space="preserve">Arrow 1, Twin Strike</t>
  </si>
  <si>
    <t xml:space="preserve">12-4; 12-6 (elite)</t>
  </si>
  <si>
    <t xml:space="preserve">Twin Strike is taught here.</t>
  </si>
  <si>
    <t xml:space="preserve">fox-sharpshot</t>
  </si>
  <si>
    <t xml:space="preserve">Fox Sharpshot</t>
  </si>
  <si>
    <t xml:space="preserve">Snipe 3</t>
  </si>
  <si>
    <t xml:space="preserve">12-3; 12-5</t>
  </si>
  <si>
    <t xml:space="preserve">Snipe (maybe).</t>
  </si>
  <si>
    <t xml:space="preserve">quillback-elder</t>
  </si>
  <si>
    <t xml:space="preserve">Quillback Elder</t>
  </si>
  <si>
    <t xml:space="preserve">Armor 3</t>
  </si>
  <si>
    <t xml:space="preserve">12-2; 12-5; 12-7 (boss)</t>
  </si>
  <si>
    <t xml:space="preserve">porcupine-roller</t>
  </si>
  <si>
    <t xml:space="preserve">Porcupine Roller</t>
  </si>
  <si>
    <t xml:space="preserve">12-1; 12-3</t>
  </si>
  <si>
    <t xml:space="preserve">quill-volley</t>
  </si>
  <si>
    <t xml:space="preserve">Quill Volley</t>
  </si>
  <si>
    <t xml:space="preserve">Pounce 2</t>
  </si>
  <si>
    <t xml:space="preserve">cunning-vixen</t>
  </si>
  <si>
    <t xml:space="preserve">Cunning Vixen</t>
  </si>
  <si>
    <t xml:space="preserve">Evasive, Backstab 2</t>
  </si>
  <si>
    <t xml:space="preserve">Backstab preview (Greenhood Band).</t>
  </si>
  <si>
    <t xml:space="preserve">mouse-sapper</t>
  </si>
  <si>
    <t xml:space="preserve">Mouse Sapper</t>
  </si>
  <si>
    <t xml:space="preserve">Demolisher 1</t>
  </si>
  <si>
    <t xml:space="preserve">12-2; 12-4</t>
  </si>
  <si>
    <t xml:space="preserve">Demolisher (maybe). Moved off Map 1.</t>
  </si>
  <si>
    <t xml:space="preserve">badger-sapper</t>
  </si>
  <si>
    <t xml:space="preserve">Badger Sapper</t>
  </si>
  <si>
    <t xml:space="preserve">Demolisher 2</t>
  </si>
  <si>
    <t xml:space="preserve">12-5; 12-6 (elite)</t>
  </si>
  <si>
    <t xml:space="preserve">rabbit-kit</t>
  </si>
  <si>
    <t xml:space="preserve">Rabbit Kit</t>
  </si>
  <si>
    <t xml:space="preserve">puddle-changeling</t>
  </si>
  <si>
    <t xml:space="preserve">Puddle Changeling</t>
  </si>
  <si>
    <t xml:space="preserve">Changeling, Twin</t>
  </si>
  <si>
    <t xml:space="preserve">Pack common: the maze's cheap changeling.</t>
  </si>
  <si>
    <t xml:space="preserve">12-1; 12-2</t>
  </si>
  <si>
    <t xml:space="preserve">quill-thorn-boar</t>
  </si>
  <si>
    <t xml:space="preserve">Quill-Thorn Boar</t>
  </si>
  <si>
    <t xml:space="preserve">Thorns 3</t>
  </si>
  <si>
    <t xml:space="preserve">12-6 (elite)</t>
  </si>
  <si>
    <t xml:space="preserve">quillguard</t>
  </si>
  <si>
    <t xml:space="preserve">Quillguard</t>
  </si>
  <si>
    <t xml:space="preserve">12-6 (elite); 12-7 (boss)</t>
  </si>
  <si>
    <t xml:space="preserve">rodent-king</t>
  </si>
  <si>
    <t xml:space="preserve">Rodent King</t>
  </si>
  <si>
    <t xml:space="preserve">12-7 (boss)</t>
  </si>
  <si>
    <t xml:space="preserve">thornvine-lasher</t>
  </si>
  <si>
    <t xml:space="preserve">Thornvine Lasher</t>
  </si>
  <si>
    <t xml:space="preserve">Map 13</t>
  </si>
  <si>
    <t xml:space="preserve">The Redwood Deep</t>
  </si>
  <si>
    <t xml:space="preserve">Old forest</t>
  </si>
  <si>
    <t xml:space="preserve">bear-cub</t>
  </si>
  <si>
    <t xml:space="preserve">Bear Cub</t>
  </si>
  <si>
    <t xml:space="preserve">13-1; 13-2; 13-4</t>
  </si>
  <si>
    <t xml:space="preserve">Sheet says Rare: relabel Common (a cub is filler).</t>
  </si>
  <si>
    <t xml:space="preserve">fawn-scout</t>
  </si>
  <si>
    <t xml:space="preserve">Fawn Scout</t>
  </si>
  <si>
    <t xml:space="preserve">13-1; 13-3</t>
  </si>
  <si>
    <t xml:space="preserve">stag-knight</t>
  </si>
  <si>
    <t xml:space="preserve">Stag Knight</t>
  </si>
  <si>
    <t xml:space="preserve">13-3; 13-5</t>
  </si>
  <si>
    <t xml:space="preserve">berserker-boar</t>
  </si>
  <si>
    <t xml:space="preserve">Berserker Boar</t>
  </si>
  <si>
    <t xml:space="preserve">Rage</t>
  </si>
  <si>
    <t xml:space="preserve">13-3; 13-4; 13-6</t>
  </si>
  <si>
    <t xml:space="preserve">Rage is taught here.</t>
  </si>
  <si>
    <t xml:space="preserve">boar-rampager</t>
  </si>
  <si>
    <t xml:space="preserve">Boar Rampager</t>
  </si>
  <si>
    <t xml:space="preserve">13-5; 13-6</t>
  </si>
  <si>
    <t xml:space="preserve">Cleave headline here (it shows earlier on a few cards).</t>
  </si>
  <si>
    <t xml:space="preserve">honey-badger-fury</t>
  </si>
  <si>
    <t xml:space="preserve">Honey Badger Fury</t>
  </si>
  <si>
    <t xml:space="preserve">13-2; 13-5</t>
  </si>
  <si>
    <t xml:space="preserve">woodland-brawler</t>
  </si>
  <si>
    <t xml:space="preserve">Woodland Brawler</t>
  </si>
  <si>
    <t xml:space="preserve">13-2; 13-5; 13-7 (elite)</t>
  </si>
  <si>
    <t xml:space="preserve">grizzly-vanguard</t>
  </si>
  <si>
    <t xml:space="preserve">Grizzly Vanguard</t>
  </si>
  <si>
    <t xml:space="preserve">13-4; 13-7 (elite); 13-8 (boss)</t>
  </si>
  <si>
    <t xml:space="preserve">new here (also stays on Map 20)</t>
  </si>
  <si>
    <t xml:space="preserve">tusked-vanguard</t>
  </si>
  <si>
    <t xml:space="preserve">Tusked Vanguard</t>
  </si>
  <si>
    <t xml:space="preserve">13-2; 13-4</t>
  </si>
  <si>
    <t xml:space="preserve">antler-skirmisher</t>
  </si>
  <si>
    <t xml:space="preserve">Antler Skirmisher</t>
  </si>
  <si>
    <t xml:space="preserve">13-3; 13-6</t>
  </si>
  <si>
    <t xml:space="preserve">Moved off Map 1 (deer live here).</t>
  </si>
  <si>
    <t xml:space="preserve">grindstone-boar</t>
  </si>
  <si>
    <t xml:space="preserve">Grindstone Boar</t>
  </si>
  <si>
    <t xml:space="preserve">Friction 2</t>
  </si>
  <si>
    <t xml:space="preserve">13-6</t>
  </si>
  <si>
    <t xml:space="preserve">Friction (maybe).</t>
  </si>
  <si>
    <t xml:space="preserve">firetail-trickster</t>
  </si>
  <si>
    <t xml:space="preserve">Firetail Trickster</t>
  </si>
  <si>
    <t xml:space="preserve">13-4; 13-6</t>
  </si>
  <si>
    <t xml:space="preserve">owl-sentinel</t>
  </si>
  <si>
    <t xml:space="preserve">Owl Sentinel</t>
  </si>
  <si>
    <t xml:space="preserve">Flying, Nocturnal, Keen Eye</t>
  </si>
  <si>
    <t xml:space="preserve">owl-fletcher</t>
  </si>
  <si>
    <t xml:space="preserve">Owl Fletcher</t>
  </si>
  <si>
    <t xml:space="preserve">Flying, Arrow 1, Nocturnal</t>
  </si>
  <si>
    <t xml:space="preserve">13-5 (x1 rare spawn)</t>
  </si>
  <si>
    <t xml:space="preserve">13-1</t>
  </si>
  <si>
    <t xml:space="preserve">shimmerwing-stag</t>
  </si>
  <si>
    <t xml:space="preserve">Shimmerwing Stag</t>
  </si>
  <si>
    <t xml:space="preserve">13-7 (elite)</t>
  </si>
  <si>
    <t xml:space="preserve">bramblewood-lynx</t>
  </si>
  <si>
    <t xml:space="preserve">Bramblewood Lynx</t>
  </si>
  <si>
    <t xml:space="preserve">king-maker</t>
  </si>
  <si>
    <t xml:space="preserve">King Maker</t>
  </si>
  <si>
    <t xml:space="preserve">King Slayer 4</t>
  </si>
  <si>
    <t xml:space="preserve">13-8 (boss)</t>
  </si>
  <si>
    <t xml:space="preserve">King Slayer (maybe).</t>
  </si>
  <si>
    <t xml:space="preserve">elderhorn-monarch</t>
  </si>
  <si>
    <t xml:space="preserve">Elderhorn Monarch</t>
  </si>
  <si>
    <t xml:space="preserve">onReadyGold 1, Worthy 2</t>
  </si>
  <si>
    <t xml:space="preserve">The Stag-Lord.</t>
  </si>
  <si>
    <t xml:space="preserve">Map 14</t>
  </si>
  <si>
    <t xml:space="preserve">Savanna Reaches</t>
  </si>
  <si>
    <t xml:space="preserve">Grassland (savanna)</t>
  </si>
  <si>
    <t xml:space="preserve">plains-zebra</t>
  </si>
  <si>
    <t xml:space="preserve">Plains Zebra</t>
  </si>
  <si>
    <t xml:space="preserve">14-1; 14-2; 14-4</t>
  </si>
  <si>
    <t xml:space="preserve">acacia-giraffe</t>
  </si>
  <si>
    <t xml:space="preserve">Acacia Giraffe</t>
  </si>
  <si>
    <t xml:space="preserve">14-1; 14-3; 14-5</t>
  </si>
  <si>
    <t xml:space="preserve">savanna-cheetah</t>
  </si>
  <si>
    <t xml:space="preserve">Savanna Cheetah</t>
  </si>
  <si>
    <t xml:space="preserve">14-2; 14-5; 14-7 (elite)</t>
  </si>
  <si>
    <t xml:space="preserve">Quick repeats on the fastest animal.</t>
  </si>
  <si>
    <t xml:space="preserve">dust-hyena</t>
  </si>
  <si>
    <t xml:space="preserve">Dust Hyena</t>
  </si>
  <si>
    <t xml:space="preserve">trigger:onKill</t>
  </si>
  <si>
    <t xml:space="preserve">14-1; 14-3; 14-4; 14-6</t>
  </si>
  <si>
    <t xml:space="preserve">termite-mound</t>
  </si>
  <si>
    <t xml:space="preserve">Termite Mound</t>
  </si>
  <si>
    <t xml:space="preserve">14-2; 14-6</t>
  </si>
  <si>
    <t xml:space="preserve">monitor-rambler</t>
  </si>
  <si>
    <t xml:space="preserve">Monitor Rambler</t>
  </si>
  <si>
    <t xml:space="preserve">14-3; 14-6</t>
  </si>
  <si>
    <t xml:space="preserve">rabid-jackal</t>
  </si>
  <si>
    <t xml:space="preserve">Rabid Jackal</t>
  </si>
  <si>
    <t xml:space="preserve">Rabid, weakness</t>
  </si>
  <si>
    <t xml:space="preserve">14-4; 14-6</t>
  </si>
  <si>
    <t xml:space="preserve">Rabid: animal-specific one-off.</t>
  </si>
  <si>
    <t xml:space="preserve">marching-elephant</t>
  </si>
  <si>
    <t xml:space="preserve">Marching Elephant</t>
  </si>
  <si>
    <t xml:space="preserve">Stampede, Armor 1</t>
  </si>
  <si>
    <t xml:space="preserve">14-7 (elite); 14-8 (boss)</t>
  </si>
  <si>
    <t xml:space="preserve">Stampede is taught here.</t>
  </si>
  <si>
    <t xml:space="preserve">siege-rhino</t>
  </si>
  <si>
    <t xml:space="preserve">Siege Rhino</t>
  </si>
  <si>
    <t xml:space="preserve">Siege 4, Demolisher 3</t>
  </si>
  <si>
    <t xml:space="preserve">Siege is taught here.</t>
  </si>
  <si>
    <t xml:space="preserve">pride-queen</t>
  </si>
  <si>
    <t xml:space="preserve">Pride Queen</t>
  </si>
  <si>
    <t xml:space="preserve">14-8 (boss)</t>
  </si>
  <si>
    <t xml:space="preserve">Map 14 side</t>
  </si>
  <si>
    <t xml:space="preserve">The Canopy</t>
  </si>
  <si>
    <t xml:space="preserve">Rainforest</t>
  </si>
  <si>
    <t xml:space="preserve">toucan-courier</t>
  </si>
  <si>
    <t xml:space="preserve">Toucan Courier</t>
  </si>
  <si>
    <t xml:space="preserve">Diurnal, Worthy 1</t>
  </si>
  <si>
    <t xml:space="preserve">14-A-1; 14-A-2</t>
  </si>
  <si>
    <t xml:space="preserve">Rainforest pool, parked here until it gets a main map (see the .md).</t>
  </si>
  <si>
    <t xml:space="preserve">jaguar-stalker</t>
  </si>
  <si>
    <t xml:space="preserve">Jaguar Stalker</t>
  </si>
  <si>
    <t xml:space="preserve">14-A-1; 14-A-3; 14-A-4 (boss)</t>
  </si>
  <si>
    <t xml:space="preserve">poison-dart-frog</t>
  </si>
  <si>
    <t xml:space="preserve">Poison Dart Frog</t>
  </si>
  <si>
    <t xml:space="preserve">Poison 3</t>
  </si>
  <si>
    <t xml:space="preserve">14-A-1; 14-A-3</t>
  </si>
  <si>
    <t xml:space="preserve">howler-monkey</t>
  </si>
  <si>
    <t xml:space="preserve">Howler Monkey</t>
  </si>
  <si>
    <t xml:space="preserve">Nocturnal, Bananarang</t>
  </si>
  <si>
    <t xml:space="preserve">14-A-2; 14-A-4 (boss)</t>
  </si>
  <si>
    <t xml:space="preserve">Bananarang one-off.</t>
  </si>
  <si>
    <t xml:space="preserve">war-drum-mandrill</t>
  </si>
  <si>
    <t xml:space="preserve">War-Drum Mandrill</t>
  </si>
  <si>
    <t xml:space="preserve">Durian</t>
  </si>
  <si>
    <t xml:space="preserve">14-A-3; 14-A-4 (boss)</t>
  </si>
  <si>
    <t xml:space="preserve">Durian one-off.</t>
  </si>
  <si>
    <t xml:space="preserve">bramblewood-macaque</t>
  </si>
  <si>
    <t xml:space="preserve">Bramblewood Macaque</t>
  </si>
  <si>
    <t xml:space="preserve">Banana</t>
  </si>
  <si>
    <t xml:space="preserve">14-A-2</t>
  </si>
  <si>
    <t xml:space="preserve">Banana one-off.</t>
  </si>
  <si>
    <t xml:space="preserve">slowpoke-sentinel</t>
  </si>
  <si>
    <t xml:space="preserve">Slowpoke Sentinel</t>
  </si>
  <si>
    <t xml:space="preserve">14-A-2; 14-A-3</t>
  </si>
  <si>
    <t xml:space="preserve">strangler-vine</t>
  </si>
  <si>
    <t xml:space="preserve">Strangler Vine</t>
  </si>
  <si>
    <t xml:space="preserve">rafflesia</t>
  </si>
  <si>
    <t xml:space="preserve">Rafflesia</t>
  </si>
  <si>
    <t xml:space="preserve">trigger:onRoundStart</t>
  </si>
  <si>
    <t xml:space="preserve">14-A-4 (boss)</t>
  </si>
  <si>
    <t xml:space="preserve">Rooted Wild-Veggie preview (designed, never placed).</t>
  </si>
  <si>
    <t xml:space="preserve">ancient-sloth-titan</t>
  </si>
  <si>
    <t xml:space="preserve">Ancient Sloth Titan</t>
  </si>
  <si>
    <t xml:space="preserve">Bulwark 2</t>
  </si>
  <si>
    <t xml:space="preserve">Map 15</t>
  </si>
  <si>
    <t xml:space="preserve">The Long Grass</t>
  </si>
  <si>
    <t xml:space="preserve">Farmland</t>
  </si>
  <si>
    <t xml:space="preserve">stable-colt</t>
  </si>
  <si>
    <t xml:space="preserve">Stable Colt</t>
  </si>
  <si>
    <t xml:space="preserve">15-1; 15-2; 15-4</t>
  </si>
  <si>
    <t xml:space="preserve">squires-mount</t>
  </si>
  <si>
    <t xml:space="preserve">Squire's Mount</t>
  </si>
  <si>
    <t xml:space="preserve">15-2; 15-5</t>
  </si>
  <si>
    <t xml:space="preserve">warhorse-charger</t>
  </si>
  <si>
    <t xml:space="preserve">Warhorse Charger</t>
  </si>
  <si>
    <t xml:space="preserve">15-3; 15-6; 15-7 (elite)</t>
  </si>
  <si>
    <t xml:space="preserve">raccoon-nightcrew</t>
  </si>
  <si>
    <t xml:space="preserve">Raccoon Nightcrew</t>
  </si>
  <si>
    <t xml:space="preserve">Stealth, Nocturnal</t>
  </si>
  <si>
    <t xml:space="preserve">15-2; 15-4; 15-6</t>
  </si>
  <si>
    <t xml:space="preserve">Stealth is taught here: the tall grass.</t>
  </si>
  <si>
    <t xml:space="preserve">farm-dog</t>
  </si>
  <si>
    <t xml:space="preserve">Farm Dog</t>
  </si>
  <si>
    <t xml:space="preserve">15-1; 15-3</t>
  </si>
  <si>
    <t xml:space="preserve">moved from Clovermead (Map 1 side)</t>
  </si>
  <si>
    <t xml:space="preserve">Moved from Clovermead (village animals live here).</t>
  </si>
  <si>
    <t xml:space="preserve">house-cat</t>
  </si>
  <si>
    <t xml:space="preserve">House Cat</t>
  </si>
  <si>
    <t xml:space="preserve">Moved from Clovermead.</t>
  </si>
  <si>
    <t xml:space="preserve">pack-mule</t>
  </si>
  <si>
    <t xml:space="preserve">Pack Mule</t>
  </si>
  <si>
    <t xml:space="preserve">15-1; 15-4</t>
  </si>
  <si>
    <t xml:space="preserve">land-tiller</t>
  </si>
  <si>
    <t xml:space="preserve">Land Tiller</t>
  </si>
  <si>
    <t xml:space="preserve">village-miller</t>
  </si>
  <si>
    <t xml:space="preserve">Village Miller</t>
  </si>
  <si>
    <t xml:space="preserve">15-2; 15-4</t>
  </si>
  <si>
    <t xml:space="preserve">terrier-pup</t>
  </si>
  <si>
    <t xml:space="preserve">Terrier Pup</t>
  </si>
  <si>
    <t xml:space="preserve">15-3</t>
  </si>
  <si>
    <t xml:space="preserve">war-hound</t>
  </si>
  <si>
    <t xml:space="preserve">War Hound</t>
  </si>
  <si>
    <t xml:space="preserve">15-3 (x1 rare spawn)</t>
  </si>
  <si>
    <t xml:space="preserve">alley-cat</t>
  </si>
  <si>
    <t xml:space="preserve">Alley Cat</t>
  </si>
  <si>
    <t xml:space="preserve">Bleed 1, Twin Strike</t>
  </si>
  <si>
    <t xml:space="preserve">15-4 (x1 rare spawn)</t>
  </si>
  <si>
    <t xml:space="preserve">night-watchman</t>
  </si>
  <si>
    <t xml:space="preserve">Night Watchman</t>
  </si>
  <si>
    <t xml:space="preserve">Flying, Nocturnal 2, nocturnalHp 1</t>
  </si>
  <si>
    <t xml:space="preserve">15-4; 15-6</t>
  </si>
  <si>
    <t xml:space="preserve">buzzed-chipmunk</t>
  </si>
  <si>
    <t xml:space="preserve">Buzzed Chipmunk</t>
  </si>
  <si>
    <t xml:space="preserve">Coffee 2</t>
  </si>
  <si>
    <t xml:space="preserve">15-4</t>
  </si>
  <si>
    <t xml:space="preserve">Coffee: animal-specific one-off.</t>
  </si>
  <si>
    <t xml:space="preserve">sworn-shieldbearer</t>
  </si>
  <si>
    <t xml:space="preserve">Sworn Shieldbearer</t>
  </si>
  <si>
    <t xml:space="preserve">Loyal, loyalGrant</t>
  </si>
  <si>
    <t xml:space="preserve">15-5; 15-6</t>
  </si>
  <si>
    <t xml:space="preserve">Loyal (maybe).</t>
  </si>
  <si>
    <t xml:space="preserve">parish-sergeant</t>
  </si>
  <si>
    <t xml:space="preserve">Parish Sergeant</t>
  </si>
  <si>
    <t xml:space="preserve">rally 1</t>
  </si>
  <si>
    <t xml:space="preserve">15-6; 15-7 (elite)</t>
  </si>
  <si>
    <t xml:space="preserve">Rally (maybe).</t>
  </si>
  <si>
    <t xml:space="preserve">15-1</t>
  </si>
  <si>
    <t xml:space="preserve">talon-archer</t>
  </si>
  <si>
    <t xml:space="preserve">Talon Archer</t>
  </si>
  <si>
    <t xml:space="preserve">Flying, Arrow 2, Diurnal</t>
  </si>
  <si>
    <t xml:space="preserve">15-6 (x1 rare spawn)</t>
  </si>
  <si>
    <t xml:space="preserve">stoat-cutthroat</t>
  </si>
  <si>
    <t xml:space="preserve">Stoat Cutthroat</t>
  </si>
  <si>
    <t xml:space="preserve">Backstab 3</t>
  </si>
  <si>
    <t xml:space="preserve">15-6 (x1 rare spawn); 15-7 (elite)</t>
  </si>
  <si>
    <t xml:space="preserve">Backstab is taught here.</t>
  </si>
  <si>
    <t xml:space="preserve">shieldbearer-hound</t>
  </si>
  <si>
    <t xml:space="preserve">Shieldbearer Hound</t>
  </si>
  <si>
    <t xml:space="preserve">Shield Call</t>
  </si>
  <si>
    <t xml:space="preserve">15-7 (elite)</t>
  </si>
  <si>
    <t xml:space="preserve">Shield Call (maybe).</t>
  </si>
  <si>
    <t xml:space="preserve">armored-mastiff</t>
  </si>
  <si>
    <t xml:space="preserve">Armored Mastiff</t>
  </si>
  <si>
    <t xml:space="preserve">15-7 (elite); 15-8 (boss)</t>
  </si>
  <si>
    <t xml:space="preserve">cataphract-destrier</t>
  </si>
  <si>
    <t xml:space="preserve">Cataphract Destrier</t>
  </si>
  <si>
    <t xml:space="preserve">onReadyDamage, Stampede</t>
  </si>
  <si>
    <t xml:space="preserve">15-8 (boss)</t>
  </si>
  <si>
    <t xml:space="preserve">The Horse-Lord.</t>
  </si>
  <si>
    <t xml:space="preserve">Map 16</t>
  </si>
  <si>
    <t xml:space="preserve">The Pinewood Taiga</t>
  </si>
  <si>
    <t xml:space="preserve">Boreal forest</t>
  </si>
  <si>
    <t xml:space="preserve">timber-wolf-pack</t>
  </si>
  <si>
    <t xml:space="preserve">Timber Wolf Pack Leader</t>
  </si>
  <si>
    <t xml:space="preserve">Pack (pending)</t>
  </si>
  <si>
    <t xml:space="preserve">16-1; 16-4; 16-6</t>
  </si>
  <si>
    <t xml:space="preserve">Pack is taught here. Sheet change: give the wolves Pack.</t>
  </si>
  <si>
    <t xml:space="preserve">wolf-pack-runner</t>
  </si>
  <si>
    <t xml:space="preserve">Wolf Pack Runner</t>
  </si>
  <si>
    <t xml:space="preserve">16-3; 16-5; 16-7 (elite)</t>
  </si>
  <si>
    <t xml:space="preserve">Pack (sheet change).</t>
  </si>
  <si>
    <t xml:space="preserve">pack-wolf-reaver</t>
  </si>
  <si>
    <t xml:space="preserve">Pack Wolf Reaver</t>
  </si>
  <si>
    <t xml:space="preserve">Fork, Pack (pending)</t>
  </si>
  <si>
    <t xml:space="preserve">16-4; 16-6</t>
  </si>
  <si>
    <t xml:space="preserve">moonlit-hare</t>
  </si>
  <si>
    <t xml:space="preserve">Moonlit Hare</t>
  </si>
  <si>
    <t xml:space="preserve">Moonborn 2</t>
  </si>
  <si>
    <t xml:space="preserve">16-2; 16-5</t>
  </si>
  <si>
    <t xml:space="preserve">Moonborn is taught here: taiga nights.</t>
  </si>
  <si>
    <t xml:space="preserve">snowshoe-hare</t>
  </si>
  <si>
    <t xml:space="preserve">Snowshoe Hare</t>
  </si>
  <si>
    <t xml:space="preserve">16-1; 16-2; 16-4</t>
  </si>
  <si>
    <t xml:space="preserve">taiga-lynx</t>
  </si>
  <si>
    <t xml:space="preserve">Taiga Lynx</t>
  </si>
  <si>
    <t xml:space="preserve">16-2; 16-5; 16-7 (elite)</t>
  </si>
  <si>
    <t xml:space="preserve">boreal-elk</t>
  </si>
  <si>
    <t xml:space="preserve">Boreal Elk</t>
  </si>
  <si>
    <t xml:space="preserve">16-3; 16-6</t>
  </si>
  <si>
    <t xml:space="preserve">moved from Map 17</t>
  </si>
  <si>
    <t xml:space="preserve">pinecone-sapper</t>
  </si>
  <si>
    <t xml:space="preserve">Pinecone Sapper</t>
  </si>
  <si>
    <t xml:space="preserve">16-1; 16-3</t>
  </si>
  <si>
    <t xml:space="preserve">Explode repeats on a pinecone.</t>
  </si>
  <si>
    <t xml:space="preserve">trickster-fox</t>
  </si>
  <si>
    <t xml:space="preserve">Trickster Fox</t>
  </si>
  <si>
    <t xml:space="preserve">16-2; 16-4</t>
  </si>
  <si>
    <t xml:space="preserve">ravenous-wolverine</t>
  </si>
  <si>
    <t xml:space="preserve">Ravenous Wolverine</t>
  </si>
  <si>
    <t xml:space="preserve">16-5; 16-7 (elite)</t>
  </si>
  <si>
    <t xml:space="preserve">16-3</t>
  </si>
  <si>
    <t xml:space="preserve">16-6</t>
  </si>
  <si>
    <t xml:space="preserve">lunar-howler</t>
  </si>
  <si>
    <t xml:space="preserve">Lunar Howler</t>
  </si>
  <si>
    <t xml:space="preserve">Moonborn 4</t>
  </si>
  <si>
    <t xml:space="preserve">16-7 (elite); 16-8 (boss)</t>
  </si>
  <si>
    <t xml:space="preserve">Moonborn on the big wolf.</t>
  </si>
  <si>
    <t xml:space="preserve">alpha-howler</t>
  </si>
  <si>
    <t xml:space="preserve">Alpha Howler</t>
  </si>
  <si>
    <t xml:space="preserve">Cleave 1, Nocturnal, Pack Leader (pending)</t>
  </si>
  <si>
    <t xml:space="preserve">16-8 (boss)</t>
  </si>
  <si>
    <t xml:space="preserve">The Howling Alpha. Pack Leader (sheet change).</t>
  </si>
  <si>
    <t xml:space="preserve">Map 17</t>
  </si>
  <si>
    <t xml:space="preserve">Wolfsbane Tundra</t>
  </si>
  <si>
    <t xml:space="preserve">Tundra</t>
  </si>
  <si>
    <t xml:space="preserve">glacier-wolf-pack</t>
  </si>
  <si>
    <t xml:space="preserve">Glacier Wolf Pack</t>
  </si>
  <si>
    <t xml:space="preserve">Bleed 2</t>
  </si>
  <si>
    <t xml:space="preserve">17-2; 17-4; 17-6</t>
  </si>
  <si>
    <t xml:space="preserve">moved from The Old Bramble (Map 0 side)</t>
  </si>
  <si>
    <t xml:space="preserve">Moved here from Map 0: a Frost wolf with Bleed 2 never belonged at the forest edge.</t>
  </si>
  <si>
    <t xml:space="preserve">ice-crevasse-wolf</t>
  </si>
  <si>
    <t xml:space="preserve">Ice-Crevasse Wolf</t>
  </si>
  <si>
    <t xml:space="preserve">17-1; 17-4; 17-7 (elite)</t>
  </si>
  <si>
    <t xml:space="preserve">frostbitten-wolverine</t>
  </si>
  <si>
    <t xml:space="preserve">Frostbitten Wolverine</t>
  </si>
  <si>
    <t xml:space="preserve">Frostbite 1</t>
  </si>
  <si>
    <t xml:space="preserve">17-3; 17-5</t>
  </si>
  <si>
    <t xml:space="preserve">Frostbite is taught here.</t>
  </si>
  <si>
    <t xml:space="preserve">lone-grey-wolf</t>
  </si>
  <si>
    <t xml:space="preserve">Lone Grey Wolf</t>
  </si>
  <si>
    <t xml:space="preserve">Lone Wolf</t>
  </si>
  <si>
    <t xml:space="preserve">17-6; 17-7 (elite)</t>
  </si>
  <si>
    <t xml:space="preserve">Lone Wolf is taught here.</t>
  </si>
  <si>
    <t xml:space="preserve">arctic-fox-raider</t>
  </si>
  <si>
    <t xml:space="preserve">Arctic Fox Raider</t>
  </si>
  <si>
    <t xml:space="preserve">17-1; 17-3; 17-5</t>
  </si>
  <si>
    <t xml:space="preserve">snow-ermine</t>
  </si>
  <si>
    <t xml:space="preserve">Snow Ermine</t>
  </si>
  <si>
    <t xml:space="preserve">17-1; 17-2</t>
  </si>
  <si>
    <t xml:space="preserve">tundra-musk-ox</t>
  </si>
  <si>
    <t xml:space="preserve">Tundra Musk Ox</t>
  </si>
  <si>
    <t xml:space="preserve">17-2; 17-6; 17-7 (elite)</t>
  </si>
  <si>
    <t xml:space="preserve">moved from Map 16</t>
  </si>
  <si>
    <t xml:space="preserve">glacier-yak</t>
  </si>
  <si>
    <t xml:space="preserve">Glacier Yak</t>
  </si>
  <si>
    <t xml:space="preserve">freeze, trigger:onSpawn</t>
  </si>
  <si>
    <t xml:space="preserve">17-3; 17-6</t>
  </si>
  <si>
    <t xml:space="preserve">Freeze is taught here.</t>
  </si>
  <si>
    <t xml:space="preserve">snow-owl-sentinel</t>
  </si>
  <si>
    <t xml:space="preserve">Snow Owl Sentinel</t>
  </si>
  <si>
    <t xml:space="preserve">Expose 2, Flying, Nocturnal</t>
  </si>
  <si>
    <t xml:space="preserve">17-4</t>
  </si>
  <si>
    <t xml:space="preserve">Expose (maybe).</t>
  </si>
  <si>
    <t xml:space="preserve">17-1</t>
  </si>
  <si>
    <t xml:space="preserve">permafrost-mammoth</t>
  </si>
  <si>
    <t xml:space="preserve">Permafrost Mammoth</t>
  </si>
  <si>
    <t xml:space="preserve">Cleave 1, Nocturnal, Frostbite 2</t>
  </si>
  <si>
    <t xml:space="preserve">17-7 (elite); 17-8 (boss)</t>
  </si>
  <si>
    <t xml:space="preserve">ur-elk</t>
  </si>
  <si>
    <t xml:space="preserve">Ür-Elk</t>
  </si>
  <si>
    <t xml:space="preserve">Stampede, Rage</t>
  </si>
  <si>
    <t xml:space="preserve">17-8 (boss)</t>
  </si>
  <si>
    <t xml:space="preserve">wolfsbane-alpha</t>
  </si>
  <si>
    <t xml:space="preserve">Wolfsbane Alpha</t>
  </si>
  <si>
    <t xml:space="preserve">Bleed 2, Nocturnal</t>
  </si>
  <si>
    <t xml:space="preserve">glacial-ape-king</t>
  </si>
  <si>
    <t xml:space="preserve">Glacial Ape-King</t>
  </si>
  <si>
    <t xml:space="preserve">Earthquake 4</t>
  </si>
  <si>
    <t xml:space="preserve">Map 17 side</t>
  </si>
  <si>
    <t xml:space="preserve">The Ice Hollow</t>
  </si>
  <si>
    <t xml:space="preserve">Tundra (ice cave)</t>
  </si>
  <si>
    <t xml:space="preserve">frost-thistle-lynx</t>
  </si>
  <si>
    <t xml:space="preserve">Frost Thistle Lynx</t>
  </si>
  <si>
    <t xml:space="preserve">17-A-1; 17-A-2; 17-A-4 (boss)</t>
  </si>
  <si>
    <t xml:space="preserve">Unique (placed nowhere today).</t>
  </si>
  <si>
    <t xml:space="preserve">17-A-1</t>
  </si>
  <si>
    <t xml:space="preserve">17-A-1; 17-A-3</t>
  </si>
  <si>
    <t xml:space="preserve">17-A-2</t>
  </si>
  <si>
    <t xml:space="preserve">17-A-3</t>
  </si>
  <si>
    <t xml:space="preserve">17-A-2; 17-A-4 (boss)</t>
  </si>
  <si>
    <t xml:space="preserve">17-A-4 (boss)</t>
  </si>
  <si>
    <t xml:space="preserve">The Old Bramble</t>
  </si>
  <si>
    <t xml:space="preserve">bramble-hoglet</t>
  </si>
  <si>
    <t xml:space="preserve">Bramble Hoglet</t>
  </si>
  <si>
    <t xml:space="preserve">Regeneration 1</t>
  </si>
  <si>
    <t xml:space="preserve">0-B-1; 0-B-2</t>
  </si>
  <si>
    <t xml:space="preserve">thornwood-palisade</t>
  </si>
  <si>
    <t xml:space="preserve">Thornwood Palisade</t>
  </si>
  <si>
    <t xml:space="preserve">Counterattack, Spiteful 2</t>
  </si>
  <si>
    <t xml:space="preserve">0-B-4 (boss)</t>
  </si>
  <si>
    <t xml:space="preserve">Unique. Counterattack: the bramble wall hits back.</t>
  </si>
  <si>
    <t xml:space="preserve">ent</t>
  </si>
  <si>
    <t xml:space="preserve">Ent</t>
  </si>
  <si>
    <t xml:space="preserve">Unique boss: "something waited in the thorns".</t>
  </si>
  <si>
    <t xml:space="preserve">0-B-1</t>
  </si>
  <si>
    <t xml:space="preserve">new here (also stays on Map 1, Map 13)</t>
  </si>
  <si>
    <t xml:space="preserve">0-B-1; 0-B-3</t>
  </si>
  <si>
    <t xml:space="preserve">new here (also stays on Map 13)</t>
  </si>
  <si>
    <t xml:space="preserve">new here (also stays on Map 13, Map 16)</t>
  </si>
  <si>
    <t xml:space="preserve">0-B-2; 0-B-4 (boss)</t>
  </si>
  <si>
    <t xml:space="preserve">moved from Map 17; also stays on Map 16</t>
  </si>
  <si>
    <t xml:space="preserve">0-B-2</t>
  </si>
  <si>
    <t xml:space="preserve">moved from Lilypad Reach (Map 2 side), Map 17, Map 19; also stays on Map 12</t>
  </si>
  <si>
    <t xml:space="preserve">moved from Map 17, The Ice Hollow (Map 17 side); also stays on Map 16</t>
  </si>
  <si>
    <t xml:space="preserve">0-B-3</t>
  </si>
  <si>
    <t xml:space="preserve">moved from Basalt Foundry (Map 19 side); also stays on Map 18, Map 7, The Mycelium Deep (Map 7 side)</t>
  </si>
  <si>
    <t xml:space="preserve">0-B-3; 0-B-4 (boss)</t>
  </si>
  <si>
    <t xml:space="preserve">moved from Basalt Foundry (Map 19 side), Map 1, Map 8, The Mycelium Deep (Map 7 side); also stays on Map 7</t>
  </si>
  <si>
    <t xml:space="preserve">The Tutorial's old "Odd Lot" exam lives here now.</t>
  </si>
  <si>
    <t xml:space="preserve">Map 18</t>
  </si>
  <si>
    <t xml:space="preserve">The Glass Dunes</t>
  </si>
  <si>
    <t xml:space="preserve">Desert</t>
  </si>
  <si>
    <t xml:space="preserve">dune-jackal</t>
  </si>
  <si>
    <t xml:space="preserve">Dune Jackal</t>
  </si>
  <si>
    <t xml:space="preserve">Quick, Dry, Swift</t>
  </si>
  <si>
    <t xml:space="preserve">18-1; 18-2; 18-4; 18-6</t>
  </si>
  <si>
    <t xml:space="preserve">Swift is taught here.</t>
  </si>
  <si>
    <t xml:space="preserve">fennec-fox</t>
  </si>
  <si>
    <t xml:space="preserve">Fennec Fox</t>
  </si>
  <si>
    <t xml:space="preserve">Swift, Dry, Darksight</t>
  </si>
  <si>
    <t xml:space="preserve">18-3; 18-5; 18-7</t>
  </si>
  <si>
    <t xml:space="preserve">meerkat-sentry</t>
  </si>
  <si>
    <t xml:space="preserve">Meerkat Sentry</t>
  </si>
  <si>
    <t xml:space="preserve">Sociable, Dry</t>
  </si>
  <si>
    <t xml:space="preserve">18-1; 18-3; 18-6</t>
  </si>
  <si>
    <t xml:space="preserve">Sociable (maybe).</t>
  </si>
  <si>
    <t xml:space="preserve">thorny-devil</t>
  </si>
  <si>
    <t xml:space="preserve">Thorny Devil</t>
  </si>
  <si>
    <t xml:space="preserve">Thorns 2, Dry</t>
  </si>
  <si>
    <t xml:space="preserve">18-1; 18-5; 18-7</t>
  </si>
  <si>
    <t xml:space="preserve">Dry is taught here.</t>
  </si>
  <si>
    <t xml:space="preserve">meerkat-burrower</t>
  </si>
  <si>
    <t xml:space="preserve">Meerkat Burrower</t>
  </si>
  <si>
    <t xml:space="preserve">Dry, Darksight</t>
  </si>
  <si>
    <t xml:space="preserve">18-2; 18-4; 18-7</t>
  </si>
  <si>
    <t xml:space="preserve">dune-jackal-scout</t>
  </si>
  <si>
    <t xml:space="preserve">Dune Jackal Scout</t>
  </si>
  <si>
    <t xml:space="preserve">Armor 1, Dry, Swift</t>
  </si>
  <si>
    <t xml:space="preserve">18-2; 18-5</t>
  </si>
  <si>
    <t xml:space="preserve">caustic-scorpion</t>
  </si>
  <si>
    <t xml:space="preserve">Caustic Scorpion</t>
  </si>
  <si>
    <t xml:space="preserve">Poison 2, Dry, Thorns 1</t>
  </si>
  <si>
    <t xml:space="preserve">18-3; 18-6; 18-8 (elite)</t>
  </si>
  <si>
    <t xml:space="preserve">sand-widow</t>
  </si>
  <si>
    <t xml:space="preserve">Sand Widow</t>
  </si>
  <si>
    <t xml:space="preserve">Poison 2, Dry</t>
  </si>
  <si>
    <t xml:space="preserve">18-4; 18-7; 18-8 (elite)</t>
  </si>
  <si>
    <t xml:space="preserve">sandstorm-roc</t>
  </si>
  <si>
    <t xml:space="preserve">Sandstorm Roc</t>
  </si>
  <si>
    <t xml:space="preserve">Fork, Dry, Tornado (pending)</t>
  </si>
  <si>
    <t xml:space="preserve">18-6; 18-8 (elite)</t>
  </si>
  <si>
    <t xml:space="preserve">Tornado one-off would sit well here.</t>
  </si>
  <si>
    <t xml:space="preserve">18-2</t>
  </si>
  <si>
    <t xml:space="preserve">18-4</t>
  </si>
  <si>
    <t xml:space="preserve">frillneck-duelist</t>
  </si>
  <si>
    <t xml:space="preserve">Frillneck Duelist</t>
  </si>
  <si>
    <t xml:space="preserve">Quick, Fencing, Dry</t>
  </si>
  <si>
    <t xml:space="preserve">18-8 (elite)</t>
  </si>
  <si>
    <t xml:space="preserve">Fencing (maybe).</t>
  </si>
  <si>
    <t xml:space="preserve">komodo-warlord</t>
  </si>
  <si>
    <t xml:space="preserve">Komodo Warlord</t>
  </si>
  <si>
    <t xml:space="preserve">Poison 3, Gash 3</t>
  </si>
  <si>
    <t xml:space="preserve">18-9 (boss)</t>
  </si>
  <si>
    <t xml:space="preserve">Map 19</t>
  </si>
  <si>
    <t xml:space="preserve">Ashen Spurn</t>
  </si>
  <si>
    <t xml:space="preserve">Volcanic (ash ridge)</t>
  </si>
  <si>
    <t xml:space="preserve">cinder-gecko</t>
  </si>
  <si>
    <t xml:space="preserve">Cinder Gecko</t>
  </si>
  <si>
    <t xml:space="preserve">Evasive, Dry</t>
  </si>
  <si>
    <t xml:space="preserve">19-1; 19-3; 19-5</t>
  </si>
  <si>
    <t xml:space="preserve">ember-centipede</t>
  </si>
  <si>
    <t xml:space="preserve">Ember Centipede</t>
  </si>
  <si>
    <t xml:space="preserve">Quick, Dry</t>
  </si>
  <si>
    <t xml:space="preserve">19-1; 19-4; 19-6</t>
  </si>
  <si>
    <t xml:space="preserve">ash-moth</t>
  </si>
  <si>
    <t xml:space="preserve">Ash Moth</t>
  </si>
  <si>
    <t xml:space="preserve">19-2; 19-4; 19-7</t>
  </si>
  <si>
    <t xml:space="preserve">magma-salamander</t>
  </si>
  <si>
    <t xml:space="preserve">Magma Salamander</t>
  </si>
  <si>
    <t xml:space="preserve">Fire Arrow 1</t>
  </si>
  <si>
    <t xml:space="preserve">19-4; 19-7; 19-8 (elite)</t>
  </si>
  <si>
    <t xml:space="preserve">moved from Volcano Lair (Map 20 side); also stays on Basalt Foundry (Map 19 side), Eye of the Volcano (Map 20 side)</t>
  </si>
  <si>
    <t xml:space="preserve">Fire Arrow is taught here.</t>
  </si>
  <si>
    <t xml:space="preserve">ember-jackal</t>
  </si>
  <si>
    <t xml:space="preserve">Ember Jackal</t>
  </si>
  <si>
    <t xml:space="preserve">Frenzy</t>
  </si>
  <si>
    <t xml:space="preserve">19-3; 19-6; 19-8 (elite)</t>
  </si>
  <si>
    <t xml:space="preserve">moved from Eye of the Volcano (Map 20 side); also stays on Basalt Foundry (Map 19 side), Volcano Lair (Map 20 side)</t>
  </si>
  <si>
    <t xml:space="preserve">Frenzy is taught here.</t>
  </si>
  <si>
    <t xml:space="preserve">basalt-boar</t>
  </si>
  <si>
    <t xml:space="preserve">Basalt Boar</t>
  </si>
  <si>
    <t xml:space="preserve">grit 1</t>
  </si>
  <si>
    <t xml:space="preserve">19-2; 19-5; 19-7</t>
  </si>
  <si>
    <t xml:space="preserve">obsidian-scorpion</t>
  </si>
  <si>
    <t xml:space="preserve">Obsidian Scorpion</t>
  </si>
  <si>
    <t xml:space="preserve">Armor 2, Poison 2</t>
  </si>
  <si>
    <t xml:space="preserve">19-5; 19-8 (elite)</t>
  </si>
  <si>
    <t xml:space="preserve">moved from Eye of the Volcano (Map 20 side), Map 18; also stays on Basalt Foundry (Map 19 side), Volcano Lair (Map 20 side)</t>
  </si>
  <si>
    <t xml:space="preserve">ash-cloud-condor</t>
  </si>
  <si>
    <t xml:space="preserve">Ash Cloud Condor</t>
  </si>
  <si>
    <t xml:space="preserve">trigger:onSpawn, Flying</t>
  </si>
  <si>
    <t xml:space="preserve">19-6 (x1 rare spawn); 19-8 (elite)</t>
  </si>
  <si>
    <t xml:space="preserve">moved from Basalt Foundry (Map 19 side), Map 21; also stays on Eye of the Volcano (Map 20 side)</t>
  </si>
  <si>
    <t xml:space="preserve">badger-trench-digger</t>
  </si>
  <si>
    <t xml:space="preserve">Badger Trench Digger</t>
  </si>
  <si>
    <t xml:space="preserve">19-1; 19-2; 19-6</t>
  </si>
  <si>
    <t xml:space="preserve">Toughest hides.</t>
  </si>
  <si>
    <t xml:space="preserve">frost-hare-sprinter</t>
  </si>
  <si>
    <t xml:space="preserve">Frost Hare Sprinter</t>
  </si>
  <si>
    <t xml:space="preserve">19-2; 19-6</t>
  </si>
  <si>
    <t xml:space="preserve">Where the snow line meets the ash.</t>
  </si>
  <si>
    <t xml:space="preserve">19-3</t>
  </si>
  <si>
    <t xml:space="preserve">yeti</t>
  </si>
  <si>
    <t xml:space="preserve">Yeti</t>
  </si>
  <si>
    <t xml:space="preserve">Scare 2</t>
  </si>
  <si>
    <t xml:space="preserve">19-8 (elite); 19-9 (boss)</t>
  </si>
  <si>
    <t xml:space="preserve">Scare (maybe).</t>
  </si>
  <si>
    <t xml:space="preserve">yeti-chieftain</t>
  </si>
  <si>
    <t xml:space="preserve">Yeti Chieftain</t>
  </si>
  <si>
    <t xml:space="preserve">19-9 (boss)</t>
  </si>
  <si>
    <t xml:space="preserve">Heroic boss card: The Frost Yeti King.</t>
  </si>
  <si>
    <t xml:space="preserve">Map 19 side</t>
  </si>
  <si>
    <t xml:space="preserve">Basalt Foundry</t>
  </si>
  <si>
    <t xml:space="preserve">Volcanic</t>
  </si>
  <si>
    <t xml:space="preserve">magma-titan</t>
  </si>
  <si>
    <t xml:space="preserve">Magma Titan</t>
  </si>
  <si>
    <t xml:space="preserve">scar 2, Immolation 1</t>
  </si>
  <si>
    <t xml:space="preserve">19-A-2; 19-A-4 (boss)</t>
  </si>
  <si>
    <t xml:space="preserve">Unique. Immolation.</t>
  </si>
  <si>
    <t xml:space="preserve">cinder-hornet</t>
  </si>
  <si>
    <t xml:space="preserve">Cinder Hornet</t>
  </si>
  <si>
    <t xml:space="preserve">Stun 30, Flying</t>
  </si>
  <si>
    <t xml:space="preserve">19-A-1; 19-A-3</t>
  </si>
  <si>
    <t xml:space="preserve">Unique. Stun.</t>
  </si>
  <si>
    <t xml:space="preserve">cinder-stoker</t>
  </si>
  <si>
    <t xml:space="preserve">Cinder Stoker</t>
  </si>
  <si>
    <t xml:space="preserve">19-A-1; 19-A-2</t>
  </si>
  <si>
    <t xml:space="preserve">sulfur-vent-crab</t>
  </si>
  <si>
    <t xml:space="preserve">Sulfur Vent Crab</t>
  </si>
  <si>
    <t xml:space="preserve">Thorns 1, Tide, Molting 4, Fork</t>
  </si>
  <si>
    <t xml:space="preserve">19-A-3</t>
  </si>
  <si>
    <t xml:space="preserve">Unique. Moved off Pebble Beach (it is a Volcanic card).</t>
  </si>
  <si>
    <t xml:space="preserve">19-A-1; 19-A-4 (boss)</t>
  </si>
  <si>
    <t xml:space="preserve">19-A-2</t>
  </si>
  <si>
    <t xml:space="preserve">19-A-4 (boss)</t>
  </si>
  <si>
    <t xml:space="preserve">19-A-1</t>
  </si>
  <si>
    <t xml:space="preserve">Map 20</t>
  </si>
  <si>
    <t xml:space="preserve">The Sundered Peak</t>
  </si>
  <si>
    <t xml:space="preserve">Mountain peak (apex)</t>
  </si>
  <si>
    <t xml:space="preserve">cave-warlord</t>
  </si>
  <si>
    <t xml:space="preserve">Cave Warlord</t>
  </si>
  <si>
    <t xml:space="preserve">onReadyDamage, Daunt 2</t>
  </si>
  <si>
    <t xml:space="preserve">20-1; 20-4; 20-7 (elite); 20-10 (final boss)</t>
  </si>
  <si>
    <t xml:space="preserve">Daunt repeats.</t>
  </si>
  <si>
    <t xml:space="preserve">silverback-brawler</t>
  </si>
  <si>
    <t xml:space="preserve">Silverback Brawler</t>
  </si>
  <si>
    <t xml:space="preserve">20-1; 20-2; 20-5 (elite)</t>
  </si>
  <si>
    <t xml:space="preserve">Moved off the Redwood (apes are not redwood natives).</t>
  </si>
  <si>
    <t xml:space="preserve">ironback-gorilla</t>
  </si>
  <si>
    <t xml:space="preserve">Ironback Gorilla</t>
  </si>
  <si>
    <t xml:space="preserve">Bludgeon</t>
  </si>
  <si>
    <t xml:space="preserve">20-3; 20-6 (elite); 20-9 (boss)</t>
  </si>
  <si>
    <t xml:space="preserve">Bludgeon is taught here. Designed card, never placed.</t>
  </si>
  <si>
    <t xml:space="preserve">war-panther</t>
  </si>
  <si>
    <t xml:space="preserve">War Panther</t>
  </si>
  <si>
    <t xml:space="preserve">20-2; 20-6 (elite)</t>
  </si>
  <si>
    <t xml:space="preserve">moved from Map 13</t>
  </si>
  <si>
    <t xml:space="preserve">scree-goat</t>
  </si>
  <si>
    <t xml:space="preserve">Scree Goat</t>
  </si>
  <si>
    <t xml:space="preserve">Landslide 2</t>
  </si>
  <si>
    <t xml:space="preserve">20-3; 20-4</t>
  </si>
  <si>
    <t xml:space="preserve">Landslide is taught here.</t>
  </si>
  <si>
    <t xml:space="preserve">bramblewood-bonebreaker</t>
  </si>
  <si>
    <t xml:space="preserve">Bonebreaker</t>
  </si>
  <si>
    <t xml:space="preserve">stagger</t>
  </si>
  <si>
    <t xml:space="preserve">20-5 (elite); 20-8 (elite)</t>
  </si>
  <si>
    <t xml:space="preserve">Stagger (maybe).</t>
  </si>
  <si>
    <t xml:space="preserve">deep-cave-troll</t>
  </si>
  <si>
    <t xml:space="preserve">Cave Bear</t>
  </si>
  <si>
    <t xml:space="preserve">Rage, Siege 4, Darksight</t>
  </si>
  <si>
    <t xml:space="preserve">20-6 (elite); 20-8 (elite)</t>
  </si>
  <si>
    <t xml:space="preserve">"Cave Bear".</t>
  </si>
  <si>
    <t xml:space="preserve">20-1; 20-3</t>
  </si>
  <si>
    <t xml:space="preserve">20-2; 20-4</t>
  </si>
  <si>
    <t xml:space="preserve">20-3</t>
  </si>
  <si>
    <t xml:space="preserve">20-1</t>
  </si>
  <si>
    <t xml:space="preserve">20-7 (elite)</t>
  </si>
  <si>
    <t xml:space="preserve">moved from Map 3; also stays on Map 11, The Aerie Vault (Map 11 side)</t>
  </si>
  <si>
    <t xml:space="preserve">triumvirate</t>
  </si>
  <si>
    <t xml:space="preserve">Triumphvirate</t>
  </si>
  <si>
    <t xml:space="preserve">Unique</t>
  </si>
  <si>
    <t xml:space="preserve">Dictator, Inspiring 2</t>
  </si>
  <si>
    <t xml:space="preserve">20-10 (final boss)</t>
  </si>
  <si>
    <t xml:space="preserve">Unique final boss: "one throne left". Placed nowhere today.</t>
  </si>
  <si>
    <t xml:space="preserve">Map 20 side</t>
  </si>
  <si>
    <t xml:space="preserve">Eye of the Volcano</t>
  </si>
  <si>
    <t xml:space="preserve">Volcanic (crater)</t>
  </si>
  <si>
    <t xml:space="preserve">the-contradiction</t>
  </si>
  <si>
    <t xml:space="preserve">The Contradiction</t>
  </si>
  <si>
    <t xml:space="preserve">Bleed 2, Rage, Regeneration 2</t>
  </si>
  <si>
    <t xml:space="preserve">20-A-4 (boss)</t>
  </si>
  <si>
    <t xml:space="preserve">Unique boss: fire and ice in one bear.</t>
  </si>
  <si>
    <t xml:space="preserve">ember-wisp</t>
  </si>
  <si>
    <t xml:space="preserve">Ember Wisp</t>
  </si>
  <si>
    <t xml:space="preserve">Immolation 1</t>
  </si>
  <si>
    <t xml:space="preserve">20-A-2; 20-A-3</t>
  </si>
  <si>
    <t xml:space="preserve">Unique. Immolation repeats.</t>
  </si>
  <si>
    <t xml:space="preserve">20-A-1</t>
  </si>
  <si>
    <t xml:space="preserve">20-A-1; 20-A-2</t>
  </si>
  <si>
    <t xml:space="preserve">20-A-3</t>
  </si>
  <si>
    <t xml:space="preserve">20-A-2</t>
  </si>
  <si>
    <t xml:space="preserve">20-A-3; 20-A-4 (boss)</t>
  </si>
  <si>
    <t xml:space="preserve">Volcano Lair</t>
  </si>
  <si>
    <t xml:space="preserve">Volcanic (lair)</t>
  </si>
  <si>
    <t xml:space="preserve">caldera-wyrm</t>
  </si>
  <si>
    <t xml:space="preserve">The Caldera Wyrm</t>
  </si>
  <si>
    <t xml:space="preserve">Legendary</t>
  </si>
  <si>
    <t xml:space="preserve">Armor 2, trigger:onDeath, Pounce 5</t>
  </si>
  <si>
    <t xml:space="preserve">20-B-4 (boss)</t>
  </si>
  <si>
    <t xml:space="preserve">Unique world boss (legendary). The one dragon-shaped exception before Map 50.</t>
  </si>
  <si>
    <t xml:space="preserve">pyroclast-wyrm</t>
  </si>
  <si>
    <t xml:space="preserve">Pyroclast Wyrm</t>
  </si>
  <si>
    <t xml:space="preserve">Pierce 5, Fire Arrow 2</t>
  </si>
  <si>
    <t xml:space="preserve">20-B-2; 20-B-3; 20-B-4 (boss)</t>
  </si>
  <si>
    <t xml:space="preserve">Unique. Species says Dragon: rename to Reptile or it breaks "dragons from 50".</t>
  </si>
  <si>
    <t xml:space="preserve">20-B-1; 20-B-3</t>
  </si>
  <si>
    <t xml:space="preserve">20-B-1; 20-B-2</t>
  </si>
  <si>
    <t xml:space="preserve">20-B-2</t>
  </si>
  <si>
    <t xml:space="preserve">20-B-1</t>
  </si>
  <si>
    <t xml:space="preserve">20-B-3</t>
  </si>
  <si>
    <t xml:space="preserve">Map 21</t>
  </si>
  <si>
    <t xml:space="preserve">The Quiet Summit</t>
  </si>
  <si>
    <t xml:space="preserve">Mountain summit</t>
  </si>
  <si>
    <t xml:space="preserve">hymn-wren</t>
  </si>
  <si>
    <t xml:space="preserve">Hymn Wren</t>
  </si>
  <si>
    <t xml:space="preserve">Worship</t>
  </si>
  <si>
    <t xml:space="preserve">21-2; 21-5</t>
  </si>
  <si>
    <t xml:space="preserve">Worship is taught here: the summit shrine.</t>
  </si>
  <si>
    <t xml:space="preserve">chapel-sparrow</t>
  </si>
  <si>
    <t xml:space="preserve">Chapel Sparrow</t>
  </si>
  <si>
    <t xml:space="preserve">Prayer 1, Flying</t>
  </si>
  <si>
    <t xml:space="preserve">21-1; 21-4</t>
  </si>
  <si>
    <t xml:space="preserve">Prayer is taught here.</t>
  </si>
  <si>
    <t xml:space="preserve">eagle-diver</t>
  </si>
  <si>
    <t xml:space="preserve">Eagle Diver</t>
  </si>
  <si>
    <t xml:space="preserve">21-3; 21-6; 21-8 (elite)</t>
  </si>
  <si>
    <t xml:space="preserve">21-1; 21-3; 21-6</t>
  </si>
  <si>
    <t xml:space="preserve">21-2; 21-5; 21-8 (elite)</t>
  </si>
  <si>
    <t xml:space="preserve">candle-moth</t>
  </si>
  <si>
    <t xml:space="preserve">Candle Moth</t>
  </si>
  <si>
    <t xml:space="preserve">21-3; 21-7</t>
  </si>
  <si>
    <t xml:space="preserve">21-1; 21-4; 21-7</t>
  </si>
  <si>
    <t xml:space="preserve">21-1; 21-2</t>
  </si>
  <si>
    <t xml:space="preserve">21-2; 21-4</t>
  </si>
  <si>
    <t xml:space="preserve">21-3; 21-5; 21-7</t>
  </si>
  <si>
    <t xml:space="preserve">21-4; 21-6</t>
  </si>
  <si>
    <t xml:space="preserve">21-5</t>
  </si>
  <si>
    <t xml:space="preserve">21-6; 21-8 (elite)</t>
  </si>
  <si>
    <t xml:space="preserve">21-7; 21-8 (elite)</t>
  </si>
  <si>
    <t xml:space="preserve">vigil-owl</t>
  </si>
  <si>
    <t xml:space="preserve">Vigil Owl</t>
  </si>
  <si>
    <t xml:space="preserve">Divine Retribution 2, Nocturnal</t>
  </si>
  <si>
    <t xml:space="preserve">21-8 (elite)</t>
  </si>
  <si>
    <t xml:space="preserve">Divine Retribution (maybe).</t>
  </si>
  <si>
    <t xml:space="preserve">cathedral-eagle</t>
  </si>
  <si>
    <t xml:space="preserve">Cathedral Eagle</t>
  </si>
  <si>
    <t xml:space="preserve">Worship, Flying, Prayer 1</t>
  </si>
  <si>
    <t xml:space="preserve">21-9 (boss)</t>
  </si>
  <si>
    <t xml:space="preserve">Legendary boss card. Suggest Heroic for the fight version.</t>
  </si>
  <si>
    <t xml:space="preserve">Fights (proposed)</t>
  </si>
  <si>
    <t xml:space="preserve">Regular: Common (incl. Starter)</t>
  </si>
  <si>
    <t xml:space="preserve">Regular: Uncommon</t>
  </si>
  <si>
    <t xml:space="preserve">Regular: Rare</t>
  </si>
  <si>
    <t xml:space="preserve">Regular: Very / Super rare</t>
  </si>
  <si>
    <t xml:space="preserve">Regular: Epic</t>
  </si>
  <si>
    <t xml:space="preserve">Regular: Heroic / Unique</t>
  </si>
  <si>
    <t xml:space="preserve">Regular: Total</t>
  </si>
  <si>
    <t xml:space="preserve">Elite: Common</t>
  </si>
  <si>
    <t xml:space="preserve">Elite: Uncommon</t>
  </si>
  <si>
    <t xml:space="preserve">Elite: Rare</t>
  </si>
  <si>
    <t xml:space="preserve">Elite: Very / Super rare</t>
  </si>
  <si>
    <t xml:space="preserve">Elite: Epic</t>
  </si>
  <si>
    <t xml:space="preserve">Elite: Heroic / Unique</t>
  </si>
  <si>
    <t xml:space="preserve">Elite: Total</t>
  </si>
  <si>
    <t xml:space="preserve">Boss: Common</t>
  </si>
  <si>
    <t xml:space="preserve">Boss: Uncommon</t>
  </si>
  <si>
    <t xml:space="preserve">Boss: Rare</t>
  </si>
  <si>
    <t xml:space="preserve">Boss: Very / Super rare</t>
  </si>
  <si>
    <t xml:space="preserve">Boss: Epic</t>
  </si>
  <si>
    <t xml:space="preserve">Boss: Heroic / Unique</t>
  </si>
  <si>
    <t xml:space="preserve">Boss: Total</t>
  </si>
  <si>
    <t xml:space="preserve">no elite</t>
  </si>
  <si>
    <t xml:space="preserve">0-1 and 0-2 all common (0-2 is the weak ant line). 0-3: 18 common + 2 of ONE uncommon (Smokescreen Raccoon). 0-4 boss: 16 common + the 0-3 uncommon + ONE new uncommon (Fox Kit).</t>
  </si>
  <si>
    <t xml:space="preserve">From here the last fight is the boss and gets the rarity pass: one heroic (the boss card) and two rares.</t>
  </si>
  <si>
    <t xml:space="preserve">First rare spawn: one copy of a rare, in one regular fight only (Pelican Diver in 2-4).</t>
  </si>
  <si>
    <t xml:space="preserve">First mid-map elite (the fight before the boss).</t>
  </si>
  <si>
    <t xml:space="preserve">Regular fights now carry two rares; elites add a very rare.</t>
  </si>
  <si>
    <t xml:space="preserve">Three rares per regular fight: still 9-11 commons, so pack commons stay the backbone.</t>
  </si>
  <si>
    <t xml:space="preserve">Final approach: one very rare in regular fights; the final boss is the unique Triumvirate.</t>
  </si>
  <si>
    <t xml:space="preserve">A breather: the Map 19 mix, before 20-40 gets harder.</t>
  </si>
  <si>
    <t xml:space="preserve">Map 30</t>
  </si>
  <si>
    <t xml:space="preserve">Sample. Commons still a third of a regular deck.</t>
  </si>
  <si>
    <t xml:space="preserve">Map 40</t>
  </si>
  <si>
    <t xml:space="preserve">Sample. Regular: no heroic, ever. Boss: always one heroic or unique, a few rare to super rare, and a floor of commons and uncommons.</t>
  </si>
  <si>
    <t xml:space="preserve">Counts are cards in a 20-card deck. Blue cells are design targets (inputs); the Total columns are formulas and should all read 20. "Rare" assumes the relabels in the Placement notes (Fox Kit, Bear Cub, Stable Colt and other babies and small animals read Rare in the sheet today).</t>
  </si>
  <si>
    <t xml:space="preserve">Native animals</t>
  </si>
  <si>
    <t xml:space="preserve">Skills introduced: definite</t>
  </si>
  <si>
    <t xml:space="preserve">Skills introduced: maybe</t>
  </si>
  <si>
    <t xml:space="preserve">Why it fits</t>
  </si>
  <si>
    <t xml:space="preserve">How it differs from the Recommended sheet</t>
  </si>
  <si>
    <t xml:space="preserve">Also first seen here in this placement (incidental)</t>
  </si>
  <si>
    <t xml:space="preserve">Bees, ducks, rabbits, chipmunks, trout, frogs, snails, ants</t>
  </si>
  <si>
    <t xml:space="preserve">(none new)</t>
  </si>
  <si>
    <t xml:space="preserve">Teaches play, not skills. Basics only.</t>
  </si>
  <si>
    <t xml:space="preserve">Same idea; T-2 "Odd Lot" and T-4 "Final Exam" leave (17 skills shown there today).</t>
  </si>
  <si>
    <t xml:space="preserve">Flying, Armor, Swarm</t>
  </si>
  <si>
    <t xml:space="preserve">Bees, ants, earthworms, rabbits, chipmunks, ducks, trout, frogs, snails, raccoons, fox kits</t>
  </si>
  <si>
    <t xml:space="preserve">Flying, Swarm, Regeneration</t>
  </si>
  <si>
    <t xml:space="preserve">Smoke Bomb (one-off, 0-3)</t>
  </si>
  <si>
    <t xml:space="preserve">Bees fly, ants swarm, worms regrow. The mist hides Nocturnal and Tide as "?".</t>
  </si>
  <si>
    <t xml:space="preserve">Same three as your call. Adds the raccoon one-off as the 0-3 hook. Bee Sentry (Poison), Beetle Grunt (Armor), Bee Forager (bee Swarm) and Fleetfoot'd (Quick, Tide) leave Map 0.</t>
  </si>
  <si>
    <t xml:space="preserve">Regeneration, Worthy, Nocturnal, Smoke Bomb</t>
  </si>
  <si>
    <t xml:space="preserve">Hedgehogs, beetles, pill bugs, butterflies, crows, dormice, crickets, mice, badgers</t>
  </si>
  <si>
    <t xml:space="preserve">Diurnal, Thorns, Armor</t>
  </si>
  <si>
    <t xml:space="preserve">Rainrunner (the frog)</t>
  </si>
  <si>
    <t xml:space="preserve">Day/night starts under the first big trees; hedgehogs are thorny, beetles are armoured.</t>
  </si>
  <si>
    <t xml:space="preserve">Your list. Recommended had Diurnal + Nocturnal + bee Swarm here; Thorns and Armor moved down from Maps 0 side / 4.</t>
  </si>
  <si>
    <t xml:space="preserve">Thorns, Diurnal</t>
  </si>
  <si>
    <t xml:space="preserve">Rabbits, harvest mice, butterflies, pond skaters, bees</t>
  </si>
  <si>
    <t xml:space="preserve">Rainrunner (Puddle Skimmer)</t>
  </si>
  <si>
    <t xml:space="preserve">A gentle meadow: reuse plus one rain-skater.</t>
  </si>
  <si>
    <t xml:space="preserve">Recommended had Evasive here; Evasive now waits for the cliffs (Map 3).</t>
  </si>
  <si>
    <t xml:space="preserve">Rainrunner</t>
  </si>
  <si>
    <t xml:space="preserve">Crabs, gulls, pelicans, conches, sea turtles, otters, small fry</t>
  </si>
  <si>
    <t xml:space="preserve">Tide, Molting</t>
  </si>
  <si>
    <t xml:space="preserve">Swimmer, Wave, Shell (conch)</t>
  </si>
  <si>
    <t xml:space="preserve">Every crab already molts; the Tide is the beach.</t>
  </si>
  <si>
    <t xml:space="preserve">Same Tide; Molting promoted from "shown by accident" to taught. Crab Fork should become Crab Claws.</t>
  </si>
  <si>
    <t xml:space="preserve">Swimmer, Tide, Molting, Wave, Fork, Crab Claws, Shell, Revivificated</t>
  </si>
  <si>
    <t xml:space="preserve">Frogs, ducks, minnows, carp, trout</t>
  </si>
  <si>
    <t xml:space="preserve">Rainmaker</t>
  </si>
  <si>
    <t xml:space="preserve">A still pond: frogs and ducks you know, one rain-calling frog. The Mallard (Pounce) waits until after the cliffs.</t>
  </si>
  <si>
    <t xml:space="preserve">Recommended had Pounce here; Pounce moves to the cliff birds. The beaver lodge moves to Map 4.</t>
  </si>
  <si>
    <t xml:space="preserve">Smuggling raccoons, cave fish, crabs, spark flies, an octopus</t>
  </si>
  <si>
    <t xml:space="preserve">Darksight (with the dark field)</t>
  </si>
  <si>
    <t xml:space="preserve">Lantern</t>
  </si>
  <si>
    <t xml:space="preserve">The first pitch-black map: the natives see without light, the visitors bring lanterns.</t>
  </si>
  <si>
    <t xml:space="preserve">Same intent as Recommended (Darksight, Lantern), on cave natives.</t>
  </si>
  <si>
    <t xml:space="preserve">Cleave, Lantern, Darksight</t>
  </si>
  <si>
    <t xml:space="preserve">Gannets, puffins, gulls, pelicans, hawks, sea eagles, ravens, feral goats, seals</t>
  </si>
  <si>
    <t xml:space="preserve">Arrow, Pounce, Evasive</t>
  </si>
  <si>
    <t xml:space="preserve">Quick (only with a Peregrine)</t>
  </si>
  <si>
    <t xml:space="preserve">Birds dive (Pounce) and shoot (Arrow); goats and seals slip away (Evasive).</t>
  </si>
  <si>
    <t xml:space="preserve">Your list. Recommended had Arrow + Skyfall; Skyfall goes up to the mountains (Map 11).</t>
  </si>
  <si>
    <t xml:space="preserve">Pounce, Arrow, Evasive, Quick</t>
  </si>
  <si>
    <t xml:space="preserve">Beavers, lumber badgers, turtles, tortoises, herons, kingfishers, pike, carp</t>
  </si>
  <si>
    <t xml:space="preserve">Lumberjack, Guardian</t>
  </si>
  <si>
    <t xml:space="preserve">Timber, the Lumber economy</t>
  </si>
  <si>
    <t xml:space="preserve">The hollow is flooded because beavers dammed it: builders, lumber and a heron on guard. The Nest opens here (eggs).</t>
  </si>
  <si>
    <t xml:space="preserve">Recommended had Armor, Thorns, Gash, Inspiring off whales and a kraken. Whales and kraken leave for the sea.</t>
  </si>
  <si>
    <t xml:space="preserve">Lumberjack, onReadyGold, Guardian, Timber</t>
  </si>
  <si>
    <t xml:space="preserve">Vipers, leeches, toads, caimans, snapping turtles, capybaras, alligators</t>
  </si>
  <si>
    <t xml:space="preserve">Poison, Bleed, Ambush</t>
  </si>
  <si>
    <t xml:space="preserve">Shedding, Explode</t>
  </si>
  <si>
    <t xml:space="preserve">Snakes bite, leeches drain, gators wait.</t>
  </si>
  <si>
    <t xml:space="preserve">Recommended had Poison + Ambush; Bleed added (leeches). Bee Sentry no longer leaks Poison on Map 0.</t>
  </si>
  <si>
    <t xml:space="preserve">Poison, Shedding, Bleed, explode, Ambush</t>
  </si>
  <si>
    <t xml:space="preserve">Newts, root lurkers, swamp natives</t>
  </si>
  <si>
    <t xml:space="preserve">Healing</t>
  </si>
  <si>
    <t xml:space="preserve">Your "heal in the swamp maps".</t>
  </si>
  <si>
    <t xml:space="preserve">Same as Recommended.</t>
  </si>
  <si>
    <t xml:space="preserve">Gangrenous leeches, wisps, witch-herons, vampire bats, crocodiles, carcasses</t>
  </si>
  <si>
    <t xml:space="preserve">Fester, Remember</t>
  </si>
  <si>
    <t xml:space="preserve">Sap, Render</t>
  </si>
  <si>
    <t xml:space="preserve">The black swamp is about rot and things that come back.</t>
  </si>
  <si>
    <t xml:space="preserve">Recommended had Bleed + Bloom here; Bleed moved to Map 5, Bloom to the fungi.</t>
  </si>
  <si>
    <t xml:space="preserve">Fester, Remember, sap, Render, onDeathSpawn</t>
  </si>
  <si>
    <t xml:space="preserve">Morels, grubs, dung beetles, bombardier beetles, moths, spiders, snails, worms</t>
  </si>
  <si>
    <t xml:space="preserve">Sleep, Decay</t>
  </si>
  <si>
    <t xml:space="preserve">Bloom (fungal), Rocket (one-off), Demolisher (the battering-ram beetle, elite), Scare (Creeper preview)</t>
  </si>
  <si>
    <t xml:space="preserve">Spores put you to sleep; dung beetles rot you.</t>
  </si>
  <si>
    <t xml:space="preserve">Same core as Recommended; Bloom moved here from Map 6.</t>
  </si>
  <si>
    <t xml:space="preserve">Bloom, sleep, Decay, Rocket, Scare, Demolisher</t>
  </si>
  <si>
    <t xml:space="preserve">Puffballs, web spiders, carrion flies, giant worms</t>
  </si>
  <si>
    <t xml:space="preserve">Brood, Earthquake (one-off)</t>
  </si>
  <si>
    <t xml:space="preserve">A side map: reuse plus the first walking fungus.</t>
  </si>
  <si>
    <t xml:space="preserve">Recommended had Darkness here; it already started in the Grotto.</t>
  </si>
  <si>
    <t xml:space="preserve">Brood, Earthquake</t>
  </si>
  <si>
    <t xml:space="preserve">Electric bats, moles, olms, centipedes, cave fish, golems</t>
  </si>
  <si>
    <t xml:space="preserve">Electricity, Keen Sense</t>
  </si>
  <si>
    <t xml:space="preserve">Stealth, Dynamite (one-off)</t>
  </si>
  <si>
    <t xml:space="preserve">Your electric bats live here; moles smell what they cannot see.</t>
  </si>
  <si>
    <t xml:space="preserve">Same as Recommended, minus Shock Bolt.</t>
  </si>
  <si>
    <t xml:space="preserve">Electricity, Keen Sense, Heavy Metal, onReadyDamage, Stealth, Dynamite</t>
  </si>
  <si>
    <t xml:space="preserve">Glimmer spiders, mirror moths, a malachite golem</t>
  </si>
  <si>
    <t xml:space="preserve">Reflect</t>
  </si>
  <si>
    <t xml:space="preserve">Shiny walls, shiny-loving things.</t>
  </si>
  <si>
    <t xml:space="preserve">Recommended had Shock; that sits better in deep water (Sunken Depths).</t>
  </si>
  <si>
    <t xml:space="preserve">Mudskippers, monitors, kingfishers, archerfish, eels, pufferfish, cuttlefish, sea otters</t>
  </si>
  <si>
    <t xml:space="preserve">Quick, Reload</t>
  </si>
  <si>
    <t xml:space="preserve">Backstab (Wrong-Way Salmon)</t>
  </si>
  <si>
    <t xml:space="preserve">Mudskippers sprint; eels lunge and rest.</t>
  </si>
  <si>
    <t xml:space="preserve">Recommended had Wave + Molting (both already on Map 2 crabs).</t>
  </si>
  <si>
    <t xml:space="preserve">Reload, Backstab</t>
  </si>
  <si>
    <t xml:space="preserve">Clownfish, coral, morays, reef sharks, jellies, mantas, orcas, humpbacks, narwhals</t>
  </si>
  <si>
    <t xml:space="preserve">Crit, Momentum, Moonpull</t>
  </si>
  <si>
    <t xml:space="preserve">Inspiring, Bloom (coral), Expose (narwhal elite)</t>
  </si>
  <si>
    <t xml:space="preserve">Sharks crit, orcas build momentum, jellies pull the tide.</t>
  </si>
  <si>
    <t xml:space="preserve">Recommended had Shell + Bloom; whales arrive here from Map 4 and bring their skills.</t>
  </si>
  <si>
    <t xml:space="preserve">Crit, Moonpull, Inspiring, Expose, Momentum</t>
  </si>
  <si>
    <t xml:space="preserve">Krakens, squid, octopus, nautilus, electric eels, barnacles</t>
  </si>
  <si>
    <t xml:space="preserve">Gash</t>
  </si>
  <si>
    <t xml:space="preserve">Corrode, Shock</t>
  </si>
  <si>
    <t xml:space="preserve">The deep things are old and strange.</t>
  </si>
  <si>
    <t xml:space="preserve">Recommended had Moonpull (now Map 10).</t>
  </si>
  <si>
    <t xml:space="preserve">Gash, shock, Corrode</t>
  </si>
  <si>
    <t xml:space="preserve">Marmots, rams, condors, vultures, choughs, kestrels, eagles, chipmunks</t>
  </si>
  <si>
    <t xml:space="preserve">Skyfall, Daunt, Volley</t>
  </si>
  <si>
    <t xml:space="preserve">Twin Shot, Lightning</t>
  </si>
  <si>
    <t xml:space="preserve">Vultures drop stones, wardens cow you, flocks rain arrows: the ranged family grows from Arrow.</t>
  </si>
  <si>
    <t xml:space="preserve">Same Volley/Twin Shot idea, but on new mountain birds (no card has these skills yet).</t>
  </si>
  <si>
    <t xml:space="preserve">Skyfall, Volley, Twin Shot, Daunt, Avalanche, Lightning</t>
  </si>
  <si>
    <t xml:space="preserve">Ravens, eagles, condors</t>
  </si>
  <si>
    <t xml:space="preserve">Oldest nests: reuse plus ravens.</t>
  </si>
  <si>
    <t xml:space="preserve">Recommended had Snipe here; Snipe goes to the Briar Maze foxes.</t>
  </si>
  <si>
    <t xml:space="preserve">Changelings, rabbits, hedgehogs, porcupines, foxes, sapper mice and badgers</t>
  </si>
  <si>
    <t xml:space="preserve">Keen Eye, Changeling, Twin Strike</t>
  </si>
  <si>
    <t xml:space="preserve">Snipe, Backstab, Twin (Puddle Changeling)</t>
  </si>
  <si>
    <t xml:space="preserve">A maze that lies: changelings, and the scouts that see through them.</t>
  </si>
  <si>
    <t xml:space="preserve">Recommended had Cleave + Expose; Changeling and Keen Eye belong together.</t>
  </si>
  <si>
    <t xml:space="preserve">Changeling, Keen Eye, Twin Strike, Snipe, Twin</t>
  </si>
  <si>
    <t xml:space="preserve">Bears, stags, fawns, boars, badgers, lynx, foxes</t>
  </si>
  <si>
    <t xml:space="preserve">Rage, Cleave</t>
  </si>
  <si>
    <t xml:space="preserve">King Slayer, Friction</t>
  </si>
  <si>
    <t xml:space="preserve">Boars and badgers rage; bears and boars sweep.</t>
  </si>
  <si>
    <t xml:space="preserve">Recommended had Guardian + Rage; Guardian now on Map 4.</t>
  </si>
  <si>
    <t xml:space="preserve">Rage, Friction, King Slayer</t>
  </si>
  <si>
    <t xml:space="preserve">Zebras, giraffes, cheetahs, hyenas, elephants, rhinos, termites, monitors</t>
  </si>
  <si>
    <t xml:space="preserve">Stampede, Siege</t>
  </si>
  <si>
    <t xml:space="preserve">Rabid (one-off)</t>
  </si>
  <si>
    <t xml:space="preserve">The herd tramples through; the rhino breaks walls.</t>
  </si>
  <si>
    <t xml:space="preserve">Recommended had Pack/Pack Leader here; Pack moves to the wolves (Maps 16-17).</t>
  </si>
  <si>
    <t xml:space="preserve">Rabid, weakness, Stampede, Siege</t>
  </si>
  <si>
    <t xml:space="preserve">Toucans, jaguars, dart frogs, monkeys, sloths, vines, rafflesia</t>
  </si>
  <si>
    <t xml:space="preserve">Banana, Bananarang, Durian (one-offs)</t>
  </si>
  <si>
    <t xml:space="preserve">The monkeys' one-offs live where monkeys live.</t>
  </si>
  <si>
    <t xml:space="preserve">Recommended had Boomerang; Boomerang stays with the Otter cards.</t>
  </si>
  <si>
    <t xml:space="preserve">Bananarang, Durian, Banana, Bulwark</t>
  </si>
  <si>
    <t xml:space="preserve">Horses, farm dogs, cats, mice, raccoons, stoats, owls, village militia</t>
  </si>
  <si>
    <t xml:space="preserve">Stealth, Backstab</t>
  </si>
  <si>
    <t xml:space="preserve">Loyal, Rally, Shield Call, Coffee (one-off)</t>
  </si>
  <si>
    <t xml:space="preserve">Raccoons hide in tall grass; stoats strike from behind; dogs keep faith.</t>
  </si>
  <si>
    <t xml:space="preserve">Recommended had Stealth + Pounce; Pounce is already Map 3.</t>
  </si>
  <si>
    <t xml:space="preserve">nocturnalHp, Coffee, Loyal, loyalGrant, rally, Shield Call</t>
  </si>
  <si>
    <t xml:space="preserve">Wolves, lynx, elk, snowshoe hares, wolverines, trickster foxes, pinecones</t>
  </si>
  <si>
    <t xml:space="preserve">Pack, Moonborn</t>
  </si>
  <si>
    <t xml:space="preserve">Pack Leader (the Howling Alpha), Explode (pinecone), Timber</t>
  </si>
  <si>
    <t xml:space="preserve">"The first of the wolf packs" (your blurb). Wolves howl at the moon.</t>
  </si>
  <si>
    <t xml:space="preserve">Recommended had Frostbite + Ice Arrow here; frost goes to the tundra.</t>
  </si>
  <si>
    <t xml:space="preserve">Pack, Moonborn, Pack Leader</t>
  </si>
  <si>
    <t xml:space="preserve">Arctic wolves, foxes, ermine, musk oxen, mammoths, wolverines, yaks, snow owls</t>
  </si>
  <si>
    <t xml:space="preserve">Frostbite, Lone Wolf, Freeze</t>
  </si>
  <si>
    <t xml:space="preserve">"The packs here hunt in formation" (your blurb).</t>
  </si>
  <si>
    <t xml:space="preserve">Same Freeze and Lone Wolf; adds Frostbite from Map 16.</t>
  </si>
  <si>
    <t xml:space="preserve">Frostbite, Lone Wolf, freeze</t>
  </si>
  <si>
    <t xml:space="preserve">Frost lynx, ermine, yaks, the ape-king</t>
  </si>
  <si>
    <t xml:space="preserve">Reuse.</t>
  </si>
  <si>
    <t xml:space="preserve">Same (nothing new).</t>
  </si>
  <si>
    <t xml:space="preserve">Hoglets, the bramble wall, an Ent, the forest's worst</t>
  </si>
  <si>
    <t xml:space="preserve">Counterattack</t>
  </si>
  <si>
    <t xml:space="preserve">Spiteful</t>
  </si>
  <si>
    <t xml:space="preserve">It unlocks late (after the Ice Hollow): an exam on everything, with a thorn wall that hits back.</t>
  </si>
  <si>
    <t xml:space="preserve">Recommended had Thorns here; Thorns is Map 1 now.</t>
  </si>
  <si>
    <t xml:space="preserve">Counterattack, Spiteful</t>
  </si>
  <si>
    <t xml:space="preserve">Jackals, fennecs, meerkats, thorny devils, scorpions, widows, rocs, frillnecks, komodos</t>
  </si>
  <si>
    <t xml:space="preserve">Dry, Swift</t>
  </si>
  <si>
    <t xml:space="preserve">Sociable, Fencing, Tornado (one-off)</t>
  </si>
  <si>
    <t xml:space="preserve">Desert animals shrug off heat and strike first.</t>
  </si>
  <si>
    <t xml:space="preserve">Recommended had Dry + Fire Bolt; Fire waits for the volcano.</t>
  </si>
  <si>
    <t xml:space="preserve">Dry, Swift, Sociable, Tornado, Fencing</t>
  </si>
  <si>
    <t xml:space="preserve">Cinder geckos, ember centipedes, ash moths, salamanders, ember jackals, basalt boars, yetis</t>
  </si>
  <si>
    <t xml:space="preserve">Fire Arrow, Frenzy</t>
  </si>
  <si>
    <t xml:space="preserve">Scare, Immolation</t>
  </si>
  <si>
    <t xml:space="preserve">Fire meets the last of the snow; the yeti makes its stand.</t>
  </si>
  <si>
    <t xml:space="preserve">Same Fire Arrow; Frenzy instead of Immolation (Immolation goes to the Foundry).</t>
  </si>
  <si>
    <t xml:space="preserve">Fire Arrow, Frenzy, grit</t>
  </si>
  <si>
    <t xml:space="preserve">Magma titans, cinder hornets, stokers, vent crabs</t>
  </si>
  <si>
    <t xml:space="preserve">Immolation, Stun</t>
  </si>
  <si>
    <t xml:space="preserve">Grit</t>
  </si>
  <si>
    <t xml:space="preserve">The forge glows from inside.</t>
  </si>
  <si>
    <t xml:space="preserve">Recommended had Siege + Helmet; the Devil/Imp line is parked for 50+.</t>
  </si>
  <si>
    <t xml:space="preserve">scar, Immolation, Stun</t>
  </si>
  <si>
    <t xml:space="preserve">Apex animals of every biome: bears, gorillas, panthers, goats, cave bears, lions</t>
  </si>
  <si>
    <t xml:space="preserve">Bludgeon, Landslide</t>
  </si>
  <si>
    <t xml:space="preserve">Stagger, Lightning</t>
  </si>
  <si>
    <t xml:space="preserve">The last approach: the heaviest hitters, and rockslides.</t>
  </si>
  <si>
    <t xml:space="preserve">Same Landslide; Bludgeon instead of Lightning (Lightning is a maybe from Map 11).</t>
  </si>
  <si>
    <t xml:space="preserve">Bludgeon, Landslide, stagger, Dictator</t>
  </si>
  <si>
    <t xml:space="preserve">Crater life: geckos, centipedes, condors, vent crabs, an ember wisp, the Contradiction</t>
  </si>
  <si>
    <t xml:space="preserve">"The living learned not to need much": extremophiles, not undead.</t>
  </si>
  <si>
    <t xml:space="preserve">The undead line (ghouls, skeletons, wraiths, liches) is parked for Map 50+.</t>
  </si>
  <si>
    <t xml:space="preserve">The Caldera Wyrm and its court</t>
  </si>
  <si>
    <t xml:space="preserve">Pierce</t>
  </si>
  <si>
    <t xml:space="preserve">The world boss.</t>
  </si>
  <si>
    <t xml:space="preserve">Fire Drake Hatchling parked (a Dragon before Map 50).</t>
  </si>
  <si>
    <t xml:space="preserve">Snow owls, yaks, eagles, goats, the summit shrine's birds</t>
  </si>
  <si>
    <t xml:space="preserve">Worship, Prayer</t>
  </si>
  <si>
    <t xml:space="preserve">Divine Retribution, Avalanche (one-off)</t>
  </si>
  <si>
    <t xml:space="preserve">A shrine above the clouds: the faith skills (not magic).</t>
  </si>
  <si>
    <t xml:space="preserve">Recommended had Fencing + Counterattack; Fencing is a desert maybe, Counterattack is the Old Bramble.</t>
  </si>
  <si>
    <t xml:space="preserve">Worship, Prayer, Divine Retribution</t>
  </si>
  <si>
    <t xml:space="preserve">Maps 22-49</t>
  </si>
  <si>
    <t xml:space="preserve">(plan)</t>
  </si>
  <si>
    <t xml:space="preserve">Special, still no magic</t>
  </si>
  <si>
    <t xml:space="preserve">Rainforest main map (the Canopy pool), Abyssal Plains (Map 29), Floodplains</t>
  </si>
  <si>
    <t xml:space="preserve">Eclipse, Floodplains, Twilight</t>
  </si>
  <si>
    <t xml:space="preserve">Pack Leader on lions, Syzygy (35+)</t>
  </si>
  <si>
    <t xml:space="preserve">Your road plan: more fights, terrain, a bit more advanced.</t>
  </si>
  <si>
    <t xml:space="preserve">Maps 50+</t>
  </si>
  <si>
    <t xml:space="preserve">Magic and weird</t>
  </si>
  <si>
    <t xml:space="preserve">Dragons, the Devil/Imp line, the undead, phoenixes</t>
  </si>
  <si>
    <t xml:space="preserve">Magic, Ghost, Shade, Shadow, Supreme</t>
  </si>
  <si>
    <t xml:space="preserve">Irradiated, Psychic, Ichor, Wither</t>
  </si>
  <si>
    <t xml:space="preserve">Your rule: no magic before 50. The Basalt Foundry devils and the Eye of the Volcano undead wait here.</t>
  </si>
  <si>
    <t xml:space="preserve">One-off</t>
  </si>
  <si>
    <t xml:space="preserve">Coffee</t>
  </si>
  <si>
    <t xml:space="preserve">Animal-specific</t>
  </si>
  <si>
    <t xml:space="preserve">Buzzed Chipmunk (Honeyjoe Brewer on the Hummingbird side)</t>
  </si>
  <si>
    <t xml:space="preserve">Lives where its animal lives: Map 15 The Long Grass (village)</t>
  </si>
  <si>
    <t xml:space="preserve">Chilli</t>
  </si>
  <si>
    <t xml:space="preserve">No card yet</t>
  </si>
  <si>
    <t xml:space="preserve">Lives where its animal lives: Suggest a village cook mouse (Map 15) or a Wild Veggie pepper (20+)</t>
  </si>
  <si>
    <t xml:space="preserve">Lives where its animal lives: The Canopy (Map 14 side)</t>
  </si>
  <si>
    <t xml:space="preserve">Bananarang</t>
  </si>
  <si>
    <t xml:space="preserve">Rabid</t>
  </si>
  <si>
    <t xml:space="preserve">Lives where its animal lives: Map 14 Savanna Reaches</t>
  </si>
  <si>
    <t xml:space="preserve">Supreme Tide</t>
  </si>
  <si>
    <t xml:space="preserve">Blue Dragon</t>
  </si>
  <si>
    <t xml:space="preserve">Lives where its animal lives: Map 50+ (dragons)</t>
  </si>
  <si>
    <t xml:space="preserve">Lives where its animal lives: 0-3 Raccoon Heist (the uncommon), then Smugglers' Grotto and Map 9</t>
  </si>
  <si>
    <t xml:space="preserve">Avalanche</t>
  </si>
  <si>
    <t xml:space="preserve">No card yet: give it to Alpine Avalanche</t>
  </si>
  <si>
    <t xml:space="preserve">Lives where its animal lives: Map 11 boss, Map 21</t>
  </si>
  <si>
    <t xml:space="preserve">Earthquake</t>
  </si>
  <si>
    <t xml:space="preserve">Gorge Wyrm, Glacial Ape-King</t>
  </si>
  <si>
    <t xml:space="preserve">Lives where its animal lives: Mycelium Deep boss; Map 17 / Ice Hollow boss</t>
  </si>
  <si>
    <t xml:space="preserve">Tornado</t>
  </si>
  <si>
    <t xml:space="preserve">No card yet: Sandstorm Roc is the natural carrier</t>
  </si>
  <si>
    <t xml:space="preserve">Lives where its animal lives: Map 18 The Glass Dunes</t>
  </si>
  <si>
    <t xml:space="preserve">Crepuscular</t>
  </si>
  <si>
    <t xml:space="preserve">Lives where its animal lives: Dusk animals: suggest a deer or a nightjar on Map 13 or 16</t>
  </si>
  <si>
    <t xml:space="preserve">Scatterbrained</t>
  </si>
  <si>
    <t xml:space="preserve">Lives where its animal lives: Suggest a farm chicken on Map 15</t>
  </si>
  <si>
    <t xml:space="preserve">Meteor</t>
  </si>
  <si>
    <t xml:space="preserve">Lives where its animal lives: Maps 40-50 build-up (sky events), not before</t>
  </si>
  <si>
    <t xml:space="preserve">Rocket</t>
  </si>
  <si>
    <t xml:space="preserve">Lives where its animal lives: Map 7 The Morel Hollow</t>
  </si>
  <si>
    <t xml:space="preserve">Dynamite</t>
  </si>
  <si>
    <t xml:space="preserve">Lives where its animal lives: Map 8 elite, then The Old Bramble</t>
  </si>
  <si>
    <t xml:space="preserve">Fights today</t>
  </si>
  <si>
    <t xml:space="preserve">Unique enemy cards</t>
  </si>
  <si>
    <t xml:space="preserve">New to the player here</t>
  </si>
  <si>
    <t xml:space="preserve">Reused (seen before)</t>
  </si>
  <si>
    <t xml:space="preserve">In packs</t>
  </si>
  <si>
    <t xml:space="preserve">Not in packs (map rewards, base, new)</t>
  </si>
  <si>
    <t xml:space="preserve">Only on this map</t>
  </si>
  <si>
    <t xml:space="preserve">Elite-boss only</t>
  </si>
  <si>
    <t xml:space="preserve">Submap uniques</t>
  </si>
  <si>
    <t xml:space="preserve">New card concepts</t>
  </si>
  <si>
    <t xml:space="preserve">Today: unique enemy cards</t>
  </si>
  <si>
    <t xml:space="preserve">Total</t>
  </si>
  <si>
    <t xml:space="preserve">Sum of rows (a card on several maps counts once per map)</t>
  </si>
  <si>
    <t xml:space="preserve">Distinct</t>
  </si>
  <si>
    <t xml:space="preserve">Distinct enemy cards in the whole proposal</t>
  </si>
  <si>
    <t xml:space="preserve">Biome family</t>
  </si>
  <si>
    <t xml:space="preserve">Maps that use it (proposal)</t>
  </si>
  <si>
    <t xml:space="preserve">Main maps</t>
  </si>
  <si>
    <t xml:space="preserve">Side maps</t>
  </si>
  <si>
    <t xml:space="preserve">Cards that exist (eligible enemies)</t>
  </si>
  <si>
    <t xml:space="preserve">Placed in this proposal</t>
  </si>
  <si>
    <t xml:space="preserve">Not placed</t>
  </si>
  <si>
    <t xml:space="preserve">Cards the plan needs (8 per main map + 2 per side map)</t>
  </si>
  <si>
    <t xml:space="preserve">Surplus (+) / gap (-)</t>
  </si>
  <si>
    <t xml:space="preserve">Verdict</t>
  </si>
  <si>
    <t xml:space="preserve">Not placed (names)</t>
  </si>
  <si>
    <t xml:space="preserve">Woodland &amp; hedgerow</t>
  </si>
  <si>
    <t xml:space="preserve">Tutorial, Bramblewood Outskirts, Thistlewood, Clovermead, The Briar Maze, The Redwood Deep, The Old Bramble</t>
  </si>
  <si>
    <t xml:space="preserve">Surplus. The biggest pool: rabbits, chipmunks, mice, foxes, bears, deer, boars. Fine, it covers 7 maps.</t>
  </si>
  <si>
    <t xml:space="preserve">Buck Brawler, Chipmunk Cavalry, Courier Pigeon, Feral Tuskboar, Fox Warchief, Great Horned Owl, Jackrabbit Sprinter, Owl Nightwatch, Pack Rat Looter, Raccoon Bandit, Raccoon Warlord, Raven Hexcaller, Sparrow Chick</t>
  </si>
  <si>
    <t xml:space="preserve">Player factions (Otter, Hummingbird)</t>
  </si>
  <si>
    <t xml:space="preserve">(none before Map 22)</t>
  </si>
  <si>
    <t xml:space="preserve">Not enemy stock; a few Otter commons appear as Legion outposts (Maps 2, 9).</t>
  </si>
  <si>
    <t xml:space="preserve">Cobalt Fledgling, Cobalt Talon Skirmisher, Crimson Recruit, Crimson Wing Duelist Cadet, Daily Post, Dawn Bellringer, Dominion Nestguard, Fleetfoot'd, Gold-throated Acolyte, Helmeted Otter, Honeyjoe Brewer, Hummingbird Needler, Hush-Wing Spy, Lantern Bearer, Marshal of Rivergate, Mosswing, Nectar Sipper, Nectar Vintner, Net Thrower, Optio of the Ford, Otter Centurion, Otter Ferryman, Otter Flag Bearer, Otter Guard, Otter Kit, Otter Lantern Bearer, Otter Netmender, Otter Paddler, Otter Scout, Otter Shieldback, Petal Fletcher, River Warden, Riverbed Diver, Rivergate Recruit, Rivergate Tribune, Riverstone Slinger, Riverwing Envoy, Royal Guard, Ruby-Throat Duelist, Shellwright Apprentice, Sunfeather Scout, Sunspire Choirmother, Sunspire Envoy, Sunspire Sky-Sovereign, Sunthroat Courier, Violet Vane Fletcher, Voidfeather Scout</t>
  </si>
  <si>
    <t xml:space="preserve">Undergrowth &amp; fungi</t>
  </si>
  <si>
    <t xml:space="preserve">The Morel Hollow, The Mycelium Deep</t>
  </si>
  <si>
    <t xml:space="preserve">Surplus of bugs (bees, ants, beetles) once the player-side bees and ants are counted.</t>
  </si>
  <si>
    <t xml:space="preserve">Ant Hill, Ant Warrior, Bee Drone, Bee Forager, Bee Knight, Bee Sentry, Colony, Elder Willow, Monarch Wingblade, Nest, Soldier Ant, Swarm Matriarch, Tunnel Ant</t>
  </si>
  <si>
    <t xml:space="preserve">Lilypad Reach, Sunken Hollow</t>
  </si>
  <si>
    <t xml:space="preserve">About right. The beaver lodge moved to Map 4 gives it a real home.</t>
  </si>
  <si>
    <t xml:space="preserve">Camouflage Frog, Duckling Squadron, Guppy, Migration Leader, Old Willow of the Ford, Poison Dart Croaker, Silver Minnow</t>
  </si>
  <si>
    <t xml:space="preserve">Late (50+: dragons, magic, undead, devils)</t>
  </si>
  <si>
    <t xml:space="preserve">Parked: dragons, the Devil/Imp line, undead, irradiated, divine. Not needed before Map 50.</t>
  </si>
  <si>
    <t xml:space="preserve">Ash Imp, Ashbone Ghoul, Black Dragon, Blackmass Acolyte, Blessed Avatar, Blue Dragon, Brimstone Hound, Cinder Imp, Cinder Skeleton, Dread Bell, Ember Revenant, Fire Drake Hatchling, Green Dragon, Irradiated Axolotl, Irradiated Couatl, Irradiated Glow Wyrm, Lurking Dread, Magma Wraith, Obsidian Lich, Phoenix Fledgling, Pit Glutton, Puppeteer Imp, Red Dragon, Shrine Acolyte, Shrine Bell-Ringer, Shrine High Priest, The Sixfold, Tithe Collector, Tunnel Wyrm, White Dragon</t>
  </si>
  <si>
    <t xml:space="preserve">Smugglers' Grotto, Caves &amp; Alcoves, The Glimmer Depths</t>
  </si>
  <si>
    <t xml:space="preserve">Right-sized; the electric bats finally have a home.</t>
  </si>
  <si>
    <t xml:space="preserve">Glowworm Cluster, Millipede Hauler, Quarry Troll, Tiny Cave Dweller, Upside-Down Bat</t>
  </si>
  <si>
    <t xml:space="preserve">Gatorback Swamp, The Sunken Grove, Sable Swampmire</t>
  </si>
  <si>
    <t xml:space="preserve">Right-sized for 3 maps.</t>
  </si>
  <si>
    <t xml:space="preserve">Skull Vulture, Turtle Bastion</t>
  </si>
  <si>
    <t xml:space="preserve">Boreal &amp; tundra</t>
  </si>
  <si>
    <t xml:space="preserve">The Pinewood Taiga, Wolfsbane Tundra, The Ice Hollow</t>
  </si>
  <si>
    <t xml:space="preserve">About right; wolves need Pack and Pack Leader on the sheet.</t>
  </si>
  <si>
    <t xml:space="preserve">Ironmaw Warwolf</t>
  </si>
  <si>
    <t xml:space="preserve">Farm &amp; village</t>
  </si>
  <si>
    <t xml:space="preserve">Surplus (pack-heavy). Long Grass uses about 20; the rest are pack and reward cards.</t>
  </si>
  <si>
    <t xml:space="preserve">Crown Pretender, Meerkat Wayfarer, Pigeon Peon, Shepherd, Tomcat, Weredog</t>
  </si>
  <si>
    <t xml:space="preserve">Sea</t>
  </si>
  <si>
    <t xml:space="preserve">Coral Current, The Sunken Depths</t>
  </si>
  <si>
    <t xml:space="preserve">Surplus: whales, sharks, squid, jellies, raid squid. Enough for a second sea map in 22-40 (the Abyssal Plains, Map 29).</t>
  </si>
  <si>
    <t xml:space="preserve">Abyss Lantern Squid, Goliath Broodmother, Goliath Tentacle, Lion's Mane Jelly, Vampire Squid</t>
  </si>
  <si>
    <t xml:space="preserve">Eyrie Heights, The Aerie Vault, The Sundered Peak, The Quiet Summit</t>
  </si>
  <si>
    <t xml:space="preserve">Thin at the low end: no Volley or Twin Shot carrier (Chough Flock, Kestrel), no baby (Eaglet).</t>
  </si>
  <si>
    <t xml:space="preserve">Abbey Goose, Friar Badger, Golden Magpie, Mirrorhide Mutant</t>
  </si>
  <si>
    <t xml:space="preserve">Other (structures, elementals, oddities)</t>
  </si>
  <si>
    <t xml:space="preserve">Golems, wisps, changelings, pack oddities.</t>
  </si>
  <si>
    <t xml:space="preserve">Gale Sprite, Glass Changeling, Glass Golem, Iron Warden, Sergeant Bramblefox, Snail Mail, Stoneheart Golem, Stormcaller, Two-Headed Calf</t>
  </si>
  <si>
    <t xml:space="preserve">Ashen Spurn, Basalt Foundry, Eye of the Volcano, Volcano Lair</t>
  </si>
  <si>
    <t xml:space="preserve">Right once the devils and undead are parked for 50+.</t>
  </si>
  <si>
    <t xml:space="preserve">Wound Reaver</t>
  </si>
  <si>
    <t xml:space="preserve">Shore &amp; mangrove</t>
  </si>
  <si>
    <t xml:space="preserve">Pebble Beach, Gannet Cliffs, The Kelp Mangroves</t>
  </si>
  <si>
    <t xml:space="preserve">Gap on the cliffs: no gannet, puffin or peregrine, though Map 3 is named for the gannet. Mangrove needs one ranged fish (Archerfish).</t>
  </si>
  <si>
    <t xml:space="preserve">Shoal Shark</t>
  </si>
  <si>
    <t xml:space="preserve">Surplus for a side map (about 14 cards on one 4-fight map). Candidate for a main map in 22-40.</t>
  </si>
  <si>
    <t xml:space="preserve">Canopy Sloth Guardian, Hanging Loafer, Old-Growth Tortoise</t>
  </si>
  <si>
    <t xml:space="preserve">Grassland</t>
  </si>
  <si>
    <t xml:space="preserve">Gap: 10 cards for an 8-fight map; no lions or wild dogs below boss level, no gazelle or warthog. Pack has no savanna carrier.</t>
  </si>
  <si>
    <t xml:space="preserve">About right.</t>
  </si>
  <si>
    <t xml:space="preserve">Eligible = not test, token, materia, equipment, spell, field, egg, leader or dummy. Families come from each card's archetypes and species, so a few cards sit in a neighbouring family (placed cards still count where they come from, not where they are placed). "Needs" is a rule of thumb: about 8 natives per main map and 2 per side map, before reuse.</t>
  </si>
  <si>
    <t xml:space="preserve">Kind</t>
  </si>
  <si>
    <t xml:space="preserve">Hatches into / species</t>
  </si>
  <si>
    <t xml:space="preserve">Where today</t>
  </si>
  <si>
    <t xml:space="preserve">Where in this proposal</t>
  </si>
  <si>
    <t xml:space="preserve">Proposal</t>
  </si>
  <si>
    <t xml:space="preserve">Egg</t>
  </si>
  <si>
    <t xml:space="preserve">egg-woodland</t>
  </si>
  <si>
    <t xml:space="preserve">Woodland Egg</t>
  </si>
  <si>
    <t xml:space="preserve">anything</t>
  </si>
  <si>
    <t xml:space="preserve">source: nest</t>
  </si>
  <si>
    <t xml:space="preserve">(Nest, Map 4)</t>
  </si>
  <si>
    <t xml:space="preserve">Keep. This is your generic "Green egg": hatches anything. Consider renaming it Green Egg.</t>
  </si>
  <si>
    <t xml:space="preserve">egg-bird</t>
  </si>
  <si>
    <t xml:space="preserve">Speckled Egg</t>
  </si>
  <si>
    <t xml:space="preserve">Bird</t>
  </si>
  <si>
    <t xml:space="preserve">Keep: any bird.</t>
  </si>
  <si>
    <t xml:space="preserve">egg-scaly</t>
  </si>
  <si>
    <t xml:space="preserve">Leathery Egg</t>
  </si>
  <si>
    <t xml:space="preserve">Reptile, Amphibian</t>
  </si>
  <si>
    <t xml:space="preserve">Keep: any reptile or amphibian.</t>
  </si>
  <si>
    <t xml:space="preserve">egg-bug</t>
  </si>
  <si>
    <t xml:space="preserve">Cocoon</t>
  </si>
  <si>
    <t xml:space="preserve">Insect, Arachnid</t>
  </si>
  <si>
    <t xml:space="preserve">Keep: any insect or spider.</t>
  </si>
  <si>
    <t xml:space="preserve">egg-water</t>
  </si>
  <si>
    <t xml:space="preserve">Roe Pearl</t>
  </si>
  <si>
    <t xml:space="preserve">Fish, Cetacean, Mollusc, Crustacean</t>
  </si>
  <si>
    <t xml:space="preserve">Keep: any fish, whale, mollusc or crab.</t>
  </si>
  <si>
    <t xml:space="preserve">egg-beast</t>
  </si>
  <si>
    <t xml:space="preserve">Den Bundle</t>
  </si>
  <si>
    <t xml:space="preserve">Canid, Felid, Ursid, Cervid, Suid, Rodent, Lagomorph, Equid, Bovine, Primate, Mammal, Megafauna, Feline, Procyonid, Mustelid, Erinaceid, Herpestid, Hyaenid, Xenarthran, Bat, Pinniped, Cetacean</t>
  </si>
  <si>
    <t xml:space="preserve">Keep: this is the "mammal den bundle" (any mammal, Mustelids included).</t>
  </si>
  <si>
    <t xml:space="preserve">egg-otter</t>
  </si>
  <si>
    <t xml:space="preserve">River Bundle</t>
  </si>
  <si>
    <t xml:space="preserve">Mustelid</t>
  </si>
  <si>
    <t xml:space="preserve">The only species-specific egg (Otters only). Retire it into the Den Bundle, or widen it to any River card.</t>
  </si>
  <si>
    <t xml:space="preserve">egg-red-dragon</t>
  </si>
  <si>
    <t xml:space="preserve">Red Dragon Egg</t>
  </si>
  <si>
    <t xml:space="preserve">red-dragon</t>
  </si>
  <si>
    <t xml:space="preserve">nowhere (no map, no source)</t>
  </si>
  <si>
    <t xml:space="preserve">(crafted, Map 50+)</t>
  </si>
  <si>
    <t xml:space="preserve">Keep as the deliberate exception: dragons can only be crafted from their egg (Map 50+).</t>
  </si>
  <si>
    <t xml:space="preserve">Baby</t>
  </si>
  <si>
    <t xml:space="preserve">otter-kit</t>
  </si>
  <si>
    <t xml:space="preserve">Otter Kit</t>
  </si>
  <si>
    <t xml:space="preserve">on The Old Bramble (Map 0 side), Tutorial (Map 0 side)</t>
  </si>
  <si>
    <t xml:space="preserve">(not placed)</t>
  </si>
  <si>
    <t xml:space="preserve">Keep: Otter starter basic (player side).</t>
  </si>
  <si>
    <t xml:space="preserve">cobalt-talon-fledgling</t>
  </si>
  <si>
    <t xml:space="preserve">Cobalt Fledgling</t>
  </si>
  <si>
    <t xml:space="preserve">Keep: Hummingbird starter basic (player side).</t>
  </si>
  <si>
    <t xml:space="preserve">Canid</t>
  </si>
  <si>
    <t xml:space="preserve">on Map 0, Map 1, Map 13</t>
  </si>
  <si>
    <t xml:space="preserve">Bramblewood Outskirts, The Redwood Deep</t>
  </si>
  <si>
    <t xml:space="preserve">Relabel Uncommon. The 0-4 uncommon; reappears on Map 13.</t>
  </si>
  <si>
    <t xml:space="preserve">Lagomorph</t>
  </si>
  <si>
    <t xml:space="preserve">on Clovermead (Map 1 side), Map 12</t>
  </si>
  <si>
    <t xml:space="preserve">Keep (Common). Map 12.</t>
  </si>
  <si>
    <t xml:space="preserve">Ursid</t>
  </si>
  <si>
    <t xml:space="preserve">on Map 13, Map 20</t>
  </si>
  <si>
    <t xml:space="preserve">Relabel Common. Map 13 filler.</t>
  </si>
  <si>
    <t xml:space="preserve">Cervid</t>
  </si>
  <si>
    <t xml:space="preserve">on Map 13</t>
  </si>
  <si>
    <t xml:space="preserve">Equid</t>
  </si>
  <si>
    <t xml:space="preserve">on Map 15, Map 20; source: map:ml:15-1</t>
  </si>
  <si>
    <t xml:space="preserve">Relabel Common. Map 15 filler.</t>
  </si>
  <si>
    <t xml:space="preserve">source: pack</t>
  </si>
  <si>
    <t xml:space="preserve">Keep (Uncommon, pack). Seen on Map 15 before it is sold.</t>
  </si>
  <si>
    <t xml:space="preserve">on Clovermead (Map 1 side), Lilypad Reach (Map 2 side)</t>
  </si>
  <si>
    <t xml:space="preserve">Keep: starter critter; Lilypad Reach.</t>
  </si>
  <si>
    <t xml:space="preserve">duckling-squadron</t>
  </si>
  <si>
    <t xml:space="preserve">Duckling Squadron</t>
  </si>
  <si>
    <t xml:space="preserve">source: map:m3:19-4</t>
  </si>
  <si>
    <t xml:space="preserve">Keep as a reward only. Fork on ducklings reads oddly; consider Swarm instead.</t>
  </si>
  <si>
    <t xml:space="preserve">sparrow-chick</t>
  </si>
  <si>
    <t xml:space="preserve">Sparrow Chick</t>
  </si>
  <si>
    <t xml:space="preserve">on Map 3</t>
  </si>
  <si>
    <t xml:space="preserve">Keep as a player starter critter. Its Bleed is off-curriculum for Map 3, so it leaves the cliffs.</t>
  </si>
  <si>
    <t xml:space="preserve">Fish</t>
  </si>
  <si>
    <t xml:space="preserve">Pebble Beach, Lilypad Reach</t>
  </si>
  <si>
    <t xml:space="preserve">Keep: the Map 2 Swimmer/Tide teacher. Covers "baby fish".</t>
  </si>
  <si>
    <t xml:space="preserve">Reptile</t>
  </si>
  <si>
    <t xml:space="preserve">on Map 18, Map 5, The Sunken Grove (Map 5 side); source: map:mw:5-4</t>
  </si>
  <si>
    <t xml:space="preserve">Gatorback Swamp, The Sunken Grove</t>
  </si>
  <si>
    <t xml:space="preserve">Keep. Map 5 and the Sunken Grove.</t>
  </si>
  <si>
    <t xml:space="preserve">Place: Map 5 (on no map today).</t>
  </si>
  <si>
    <t xml:space="preserve">Rodent</t>
  </si>
  <si>
    <t xml:space="preserve">Bat</t>
  </si>
  <si>
    <t xml:space="preserve">Place: Map 8 (on no map today).</t>
  </si>
  <si>
    <t xml:space="preserve">Erinaceid</t>
  </si>
  <si>
    <t xml:space="preserve">Place: the Old Bramble's unique (on no map today).</t>
  </si>
  <si>
    <t xml:space="preserve">Annelid</t>
  </si>
  <si>
    <t xml:space="preserve">on Map 7, The Mycelium Deep (Map 7 side); source: map:mu:7-1</t>
  </si>
  <si>
    <t xml:space="preserve">Keep: the larva of the set. Map 7.</t>
  </si>
  <si>
    <t xml:space="preserve">Mollusc</t>
  </si>
  <si>
    <t xml:space="preserve">on Map 4, The Sunken Depths (Map 10 side)</t>
  </si>
  <si>
    <t xml:space="preserve">Not a baby in play (9/34). Keep the name, place it in the Sunken Depths.</t>
  </si>
  <si>
    <t xml:space="preserve">two-headed-calf</t>
  </si>
  <si>
    <t xml:space="preserve">Two-Headed Calf</t>
  </si>
  <si>
    <t xml:space="preserve">Bovine</t>
  </si>
  <si>
    <t xml:space="preserve">Keep in packs as an oddity. Not an enemy.</t>
  </si>
  <si>
    <t xml:space="preserve">phoenix-fledgling</t>
  </si>
  <si>
    <t xml:space="preserve">Phoenix Fledgling</t>
  </si>
  <si>
    <t xml:space="preserve">on Basalt Foundry (Map 19 side), Eye of the Volcano (Map 20 side), Volcano Lair (Map 20 side)</t>
  </si>
  <si>
    <t xml:space="preserve">Park for 50+ (a phoenix is myth, not animal). Off the Foundry.</t>
  </si>
  <si>
    <t xml:space="preserve">fire-drake-hatchling</t>
  </si>
  <si>
    <t xml:space="preserve">Fire Drake Hatchling</t>
  </si>
  <si>
    <t xml:space="preserve">Dragon</t>
  </si>
  <si>
    <t xml:space="preserve">on Volcano Lair (Map 20 side)</t>
  </si>
  <si>
    <t xml:space="preserve">Park for 50+ (species Dragon). Off the Volcano Lair.</t>
  </si>
  <si>
    <t xml:space="preserve">Baby (token)</t>
  </si>
  <si>
    <t xml:space="preserve">nest-hatchling</t>
  </si>
  <si>
    <t xml:space="preserve">Nest Hatchling</t>
  </si>
  <si>
    <t xml:space="preserve">Keep: token the Nest makes.</t>
  </si>
  <si>
    <t xml:space="preserve">bee-swarmling</t>
  </si>
  <si>
    <t xml:space="preserve">Bee Swarmling</t>
  </si>
  <si>
    <t xml:space="preserve">Insect</t>
  </si>
  <si>
    <t xml:space="preserve">Keep: token.</t>
  </si>
  <si>
    <t xml:space="preserve">bat-swarmling</t>
  </si>
  <si>
    <t xml:space="preserve">Bat Swarmling</t>
  </si>
  <si>
    <t xml:space="preserve">on Map 8, The Glimmer Depths (Map 8 side)</t>
  </si>
  <si>
    <t xml:space="preserve">insect-swarmling</t>
  </si>
  <si>
    <t xml:space="preserve">Insect Swarmling</t>
  </si>
  <si>
    <t xml:space="preserve">maggot-swarmling</t>
  </si>
  <si>
    <t xml:space="preserve">Maggot</t>
  </si>
  <si>
    <t xml:space="preserve">Missing baby (yes)</t>
  </si>
  <si>
    <t xml:space="preserve">Wolf Pup</t>
  </si>
  <si>
    <t xml:space="preserve">Maps 16-17: the first wolf packs need a cheap body that joins the Pack chain.</t>
  </si>
  <si>
    <t xml:space="preserve">Eaglet</t>
  </si>
  <si>
    <t xml:space="preserve">Map 11 and the Aerie Vault ("the oldest nests"): the mountain has no young at all.</t>
  </si>
  <si>
    <t xml:space="preserve">Missing baby (maybe)</t>
  </si>
  <si>
    <t xml:space="preserve">Seal Pup</t>
  </si>
  <si>
    <t xml:space="preserve">Pinniped</t>
  </si>
  <si>
    <t xml:space="preserve">Map 17 coast or Map 3 cliff foot; only if you want a third.</t>
  </si>
  <si>
    <t xml:space="preserve">Not needed</t>
  </si>
  <si>
    <t xml:space="preserve">Lion Cub</t>
  </si>
  <si>
    <t xml:space="preserve">-</t>
  </si>
  <si>
    <t xml:space="preserve">Felid</t>
  </si>
  <si>
    <t xml:space="preserve">Pride Queen and the Triumvirate carry the lions; a cub adds little.</t>
  </si>
  <si>
    <t xml:space="preserve">Tadpole</t>
  </si>
  <si>
    <t xml:space="preserve">Amphibian</t>
  </si>
  <si>
    <t xml:space="preserve">Shallows Fry and the Duckling already cover "baby in the water".</t>
  </si>
  <si>
    <t xml:space="preserve">Missing egg</t>
  </si>
  <si>
    <t xml:space="preserve">Six generic eggs (Green/Woodland, Speckled, Leathery, Cocoon, Roe Pearl, Den Bundle) cover every family. Add none; retire River Bundle.</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</si>
</sst>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s>
  <fills count="3">
    <fill>
      <patternFill patternType="none"/>
    </fill>
    <fill>
      <patternFill patternType="gray125"/>
    </fill>
    <fill>
      <patternFill patternType="solid">
        <fgColor rgb="FF3B5D3A"/>
        <bgColor rgb="FF333300"/>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3B5D3A"/>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B5D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23.8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t="s">
        <v>6</v>
      </c>
    </row>
    <row r="8" customFormat="false" ht="15" hidden="false" customHeight="false" outlineLevel="0" collapsed="false">
      <c r="A8" s="2" t="s">
        <v>7</v>
      </c>
    </row>
    <row r="9" customFormat="false" ht="15" hidden="false" customHeight="false" outlineLevel="0" collapsed="false">
      <c r="A9" s="2" t="s">
        <v>8</v>
      </c>
    </row>
    <row r="10" customFormat="false" ht="15" hidden="false" customHeight="false" outlineLevel="0" collapsed="false">
      <c r="A10" s="2" t="s">
        <v>9</v>
      </c>
    </row>
    <row r="11" customFormat="false" ht="15" hidden="false" customHeight="false" outlineLevel="0" collapsed="false">
      <c r="A11"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20"/>
    <col collapsed="false" customWidth="true" hidden="false" outlineLevel="0" max="4" min="4" style="0" width="18"/>
    <col collapsed="false" customWidth="true" hidden="false" outlineLevel="0" max="6" min="5" style="0" width="22"/>
    <col collapsed="false" customWidth="true" hidden="false" outlineLevel="0" max="7" min="7" style="0" width="11"/>
    <col collapsed="false" customWidth="true" hidden="false" outlineLevel="0" max="8" min="8" style="0" width="30"/>
    <col collapsed="false" customWidth="true" hidden="false" outlineLevel="0" max="9" min="9" style="0" width="16"/>
    <col collapsed="false" customWidth="true" hidden="false" outlineLevel="0" max="10" min="10" style="0" width="34"/>
    <col collapsed="false" customWidth="true" hidden="false" outlineLevel="0" max="11" min="11" style="0" width="30"/>
    <col collapsed="false" customWidth="true" hidden="false" outlineLevel="0" max="12" min="12" style="0" width="11"/>
    <col collapsed="false" customWidth="true" hidden="false" outlineLevel="0" max="14" min="13" style="0" width="9"/>
    <col collapsed="false" customWidth="true" hidden="false" outlineLevel="0" max="15" min="15" style="0" width="50"/>
  </cols>
  <sheetData>
    <row r="1" customFormat="false" ht="31.5" hidden="false" customHeight="true" outlineLevel="0" collapsed="false">
      <c r="A1" s="3" t="s">
        <v>11</v>
      </c>
      <c r="B1" s="3" t="s">
        <v>12</v>
      </c>
      <c r="C1" s="3" t="s">
        <v>13</v>
      </c>
      <c r="D1" s="3" t="s">
        <v>14</v>
      </c>
      <c r="E1" s="3" t="s">
        <v>15</v>
      </c>
      <c r="F1" s="3" t="s">
        <v>16</v>
      </c>
      <c r="G1" s="3" t="s">
        <v>17</v>
      </c>
      <c r="H1" s="3" t="s">
        <v>18</v>
      </c>
      <c r="I1" s="3" t="s">
        <v>19</v>
      </c>
      <c r="J1" s="3" t="s">
        <v>20</v>
      </c>
      <c r="K1" s="3" t="s">
        <v>21</v>
      </c>
      <c r="L1" s="3" t="s">
        <v>22</v>
      </c>
      <c r="M1" s="3" t="s">
        <v>23</v>
      </c>
      <c r="N1" s="3" t="s">
        <v>24</v>
      </c>
      <c r="O1" s="3" t="s">
        <v>25</v>
      </c>
    </row>
    <row r="2" customFormat="false" ht="46.25" hidden="false" customHeight="false" outlineLevel="0" collapsed="false">
      <c r="A2" s="4" t="n">
        <v>1</v>
      </c>
      <c r="B2" s="4" t="s">
        <v>26</v>
      </c>
      <c r="C2" s="4" t="s">
        <v>27</v>
      </c>
      <c r="D2" s="4" t="s">
        <v>28</v>
      </c>
      <c r="E2" s="4" t="s">
        <v>29</v>
      </c>
      <c r="F2" s="4" t="s">
        <v>30</v>
      </c>
      <c r="G2" s="4" t="s">
        <v>31</v>
      </c>
      <c r="H2" s="4" t="s">
        <v>32</v>
      </c>
      <c r="I2" s="4" t="s">
        <v>33</v>
      </c>
      <c r="J2" s="4" t="s">
        <v>34</v>
      </c>
      <c r="K2" s="4" t="s">
        <v>35</v>
      </c>
      <c r="L2" s="4" t="s">
        <v>36</v>
      </c>
      <c r="M2" s="4" t="s">
        <v>37</v>
      </c>
      <c r="N2" s="4" t="n">
        <v>3</v>
      </c>
      <c r="O2" s="4" t="s">
        <v>38</v>
      </c>
    </row>
    <row r="3" customFormat="false" ht="35.05" hidden="false" customHeight="false" outlineLevel="0" collapsed="false">
      <c r="A3" s="4" t="n">
        <v>1</v>
      </c>
      <c r="B3" s="4" t="s">
        <v>26</v>
      </c>
      <c r="C3" s="4" t="s">
        <v>27</v>
      </c>
      <c r="D3" s="4" t="s">
        <v>28</v>
      </c>
      <c r="E3" s="4" t="s">
        <v>39</v>
      </c>
      <c r="F3" s="4" t="s">
        <v>40</v>
      </c>
      <c r="G3" s="4" t="s">
        <v>31</v>
      </c>
      <c r="H3" s="4" t="s">
        <v>41</v>
      </c>
      <c r="I3" s="4" t="s">
        <v>33</v>
      </c>
      <c r="J3" s="4" t="s">
        <v>42</v>
      </c>
      <c r="K3" s="4" t="s">
        <v>43</v>
      </c>
      <c r="L3" s="4" t="s">
        <v>36</v>
      </c>
      <c r="M3" s="4" t="s">
        <v>37</v>
      </c>
      <c r="N3" s="4" t="n">
        <v>3</v>
      </c>
      <c r="O3" s="4"/>
    </row>
    <row r="4" customFormat="false" ht="23.85" hidden="false" customHeight="false" outlineLevel="0" collapsed="false">
      <c r="A4" s="4" t="n">
        <v>1</v>
      </c>
      <c r="B4" s="4" t="s">
        <v>26</v>
      </c>
      <c r="C4" s="4" t="s">
        <v>27</v>
      </c>
      <c r="D4" s="4" t="s">
        <v>28</v>
      </c>
      <c r="E4" s="4" t="s">
        <v>44</v>
      </c>
      <c r="F4" s="4" t="s">
        <v>45</v>
      </c>
      <c r="G4" s="4" t="s">
        <v>31</v>
      </c>
      <c r="H4" s="4" t="s">
        <v>41</v>
      </c>
      <c r="I4" s="4" t="s">
        <v>33</v>
      </c>
      <c r="J4" s="4" t="s">
        <v>46</v>
      </c>
      <c r="K4" s="4" t="s">
        <v>47</v>
      </c>
      <c r="L4" s="4" t="s">
        <v>36</v>
      </c>
      <c r="M4" s="4" t="s">
        <v>37</v>
      </c>
      <c r="N4" s="4" t="n">
        <v>3</v>
      </c>
      <c r="O4" s="4"/>
    </row>
    <row r="5" customFormat="false" ht="15" hidden="false" customHeight="false" outlineLevel="0" collapsed="false">
      <c r="A5" s="4" t="n">
        <v>1</v>
      </c>
      <c r="B5" s="4" t="s">
        <v>26</v>
      </c>
      <c r="C5" s="4" t="s">
        <v>27</v>
      </c>
      <c r="D5" s="4" t="s">
        <v>28</v>
      </c>
      <c r="E5" s="4" t="s">
        <v>48</v>
      </c>
      <c r="F5" s="4" t="s">
        <v>49</v>
      </c>
      <c r="G5" s="4" t="s">
        <v>31</v>
      </c>
      <c r="H5" s="4" t="s">
        <v>41</v>
      </c>
      <c r="I5" s="4" t="s">
        <v>33</v>
      </c>
      <c r="J5" s="4" t="s">
        <v>50</v>
      </c>
      <c r="K5" s="4" t="s">
        <v>51</v>
      </c>
      <c r="L5" s="4" t="s">
        <v>36</v>
      </c>
      <c r="M5" s="4" t="s">
        <v>37</v>
      </c>
      <c r="N5" s="4" t="n">
        <v>3</v>
      </c>
      <c r="O5" s="4" t="s">
        <v>52</v>
      </c>
    </row>
    <row r="6" customFormat="false" ht="23.85" hidden="false" customHeight="false" outlineLevel="0" collapsed="false">
      <c r="A6" s="4" t="n">
        <v>1</v>
      </c>
      <c r="B6" s="4" t="s">
        <v>26</v>
      </c>
      <c r="C6" s="4" t="s">
        <v>27</v>
      </c>
      <c r="D6" s="4" t="s">
        <v>28</v>
      </c>
      <c r="E6" s="4" t="s">
        <v>53</v>
      </c>
      <c r="F6" s="4" t="s">
        <v>54</v>
      </c>
      <c r="G6" s="4" t="s">
        <v>55</v>
      </c>
      <c r="H6" s="4" t="s">
        <v>41</v>
      </c>
      <c r="I6" s="4" t="s">
        <v>33</v>
      </c>
      <c r="J6" s="4" t="s">
        <v>56</v>
      </c>
      <c r="K6" s="4" t="s">
        <v>57</v>
      </c>
      <c r="L6" s="4" t="s">
        <v>36</v>
      </c>
      <c r="M6" s="4" t="s">
        <v>37</v>
      </c>
      <c r="N6" s="4" t="n">
        <v>4</v>
      </c>
      <c r="O6" s="4"/>
    </row>
    <row r="7" customFormat="false" ht="23.85" hidden="false" customHeight="false" outlineLevel="0" collapsed="false">
      <c r="A7" s="4" t="n">
        <v>1</v>
      </c>
      <c r="B7" s="4" t="s">
        <v>26</v>
      </c>
      <c r="C7" s="4" t="s">
        <v>27</v>
      </c>
      <c r="D7" s="4" t="s">
        <v>28</v>
      </c>
      <c r="E7" s="4" t="s">
        <v>58</v>
      </c>
      <c r="F7" s="4" t="s">
        <v>59</v>
      </c>
      <c r="G7" s="4" t="s">
        <v>31</v>
      </c>
      <c r="H7" s="4" t="s">
        <v>41</v>
      </c>
      <c r="I7" s="4" t="s">
        <v>33</v>
      </c>
      <c r="J7" s="4" t="s">
        <v>60</v>
      </c>
      <c r="K7" s="4" t="s">
        <v>61</v>
      </c>
      <c r="L7" s="4" t="s">
        <v>36</v>
      </c>
      <c r="M7" s="4" t="s">
        <v>37</v>
      </c>
      <c r="N7" s="4" t="n">
        <v>3</v>
      </c>
      <c r="O7" s="4"/>
    </row>
    <row r="8" customFormat="false" ht="46.25" hidden="false" customHeight="false" outlineLevel="0" collapsed="false">
      <c r="A8" s="4" t="n">
        <v>1</v>
      </c>
      <c r="B8" s="4" t="s">
        <v>26</v>
      </c>
      <c r="C8" s="4" t="s">
        <v>27</v>
      </c>
      <c r="D8" s="4" t="s">
        <v>28</v>
      </c>
      <c r="E8" s="4" t="s">
        <v>62</v>
      </c>
      <c r="F8" s="4" t="s">
        <v>63</v>
      </c>
      <c r="G8" s="4" t="s">
        <v>31</v>
      </c>
      <c r="H8" s="4" t="s">
        <v>64</v>
      </c>
      <c r="I8" s="4" t="s">
        <v>33</v>
      </c>
      <c r="J8" s="4" t="s">
        <v>65</v>
      </c>
      <c r="K8" s="4" t="s">
        <v>66</v>
      </c>
      <c r="L8" s="4" t="s">
        <v>36</v>
      </c>
      <c r="M8" s="4" t="s">
        <v>37</v>
      </c>
      <c r="N8" s="4" t="n">
        <v>4</v>
      </c>
      <c r="O8" s="4"/>
    </row>
    <row r="9" customFormat="false" ht="15" hidden="false" customHeight="false" outlineLevel="0" collapsed="false">
      <c r="A9" s="4" t="n">
        <v>1</v>
      </c>
      <c r="B9" s="4" t="s">
        <v>26</v>
      </c>
      <c r="C9" s="4" t="s">
        <v>27</v>
      </c>
      <c r="D9" s="4" t="s">
        <v>28</v>
      </c>
      <c r="E9" s="4" t="s">
        <v>67</v>
      </c>
      <c r="F9" s="4" t="s">
        <v>68</v>
      </c>
      <c r="G9" s="4" t="s">
        <v>31</v>
      </c>
      <c r="H9" s="4" t="s">
        <v>41</v>
      </c>
      <c r="I9" s="4" t="s">
        <v>33</v>
      </c>
      <c r="J9" s="4" t="s">
        <v>69</v>
      </c>
      <c r="K9" s="4" t="s">
        <v>51</v>
      </c>
      <c r="L9" s="4" t="s">
        <v>36</v>
      </c>
      <c r="M9" s="4" t="s">
        <v>37</v>
      </c>
      <c r="N9" s="4" t="n">
        <v>3</v>
      </c>
      <c r="O9" s="4"/>
    </row>
    <row r="10" customFormat="false" ht="15" hidden="false" customHeight="false" outlineLevel="0" collapsed="false">
      <c r="A10" s="4" t="n">
        <v>1</v>
      </c>
      <c r="B10" s="4" t="s">
        <v>26</v>
      </c>
      <c r="C10" s="4" t="s">
        <v>27</v>
      </c>
      <c r="D10" s="4" t="s">
        <v>28</v>
      </c>
      <c r="E10" s="4" t="s">
        <v>70</v>
      </c>
      <c r="F10" s="4" t="s">
        <v>71</v>
      </c>
      <c r="G10" s="4" t="s">
        <v>31</v>
      </c>
      <c r="H10" s="4" t="s">
        <v>41</v>
      </c>
      <c r="I10" s="4" t="s">
        <v>33</v>
      </c>
      <c r="J10" s="4" t="s">
        <v>60</v>
      </c>
      <c r="K10" s="4" t="s">
        <v>72</v>
      </c>
      <c r="L10" s="4" t="s">
        <v>36</v>
      </c>
      <c r="M10" s="4" t="s">
        <v>37</v>
      </c>
      <c r="N10" s="4" t="n">
        <v>2</v>
      </c>
      <c r="O10" s="4"/>
    </row>
    <row r="11" customFormat="false" ht="23.85" hidden="false" customHeight="false" outlineLevel="0" collapsed="false">
      <c r="A11" s="4" t="n">
        <v>1</v>
      </c>
      <c r="B11" s="4" t="s">
        <v>26</v>
      </c>
      <c r="C11" s="4" t="s">
        <v>27</v>
      </c>
      <c r="D11" s="4" t="s">
        <v>28</v>
      </c>
      <c r="E11" s="4" t="s">
        <v>73</v>
      </c>
      <c r="F11" s="4" t="s">
        <v>74</v>
      </c>
      <c r="G11" s="4" t="s">
        <v>31</v>
      </c>
      <c r="H11" s="4" t="s">
        <v>41</v>
      </c>
      <c r="I11" s="4" t="s">
        <v>33</v>
      </c>
      <c r="J11" s="4" t="s">
        <v>75</v>
      </c>
      <c r="K11" s="4" t="s">
        <v>76</v>
      </c>
      <c r="L11" s="4" t="s">
        <v>36</v>
      </c>
      <c r="M11" s="4" t="s">
        <v>37</v>
      </c>
      <c r="N11" s="4" t="n">
        <v>2</v>
      </c>
      <c r="O11" s="4"/>
    </row>
    <row r="12" customFormat="false" ht="15" hidden="false" customHeight="false" outlineLevel="0" collapsed="false">
      <c r="A12" s="4" t="n">
        <v>1</v>
      </c>
      <c r="B12" s="4" t="s">
        <v>26</v>
      </c>
      <c r="C12" s="4" t="s">
        <v>27</v>
      </c>
      <c r="D12" s="4" t="s">
        <v>28</v>
      </c>
      <c r="E12" s="4" t="s">
        <v>77</v>
      </c>
      <c r="F12" s="4" t="s">
        <v>78</v>
      </c>
      <c r="G12" s="4" t="s">
        <v>31</v>
      </c>
      <c r="H12" s="4" t="s">
        <v>79</v>
      </c>
      <c r="I12" s="4" t="s">
        <v>33</v>
      </c>
      <c r="J12" s="4" t="s">
        <v>80</v>
      </c>
      <c r="K12" s="4" t="s">
        <v>51</v>
      </c>
      <c r="L12" s="4" t="s">
        <v>36</v>
      </c>
      <c r="M12" s="4" t="s">
        <v>37</v>
      </c>
      <c r="N12" s="4" t="n">
        <v>2</v>
      </c>
      <c r="O12" s="4" t="s">
        <v>81</v>
      </c>
    </row>
    <row r="13" customFormat="false" ht="15" hidden="false" customHeight="false" outlineLevel="0" collapsed="false">
      <c r="A13" s="4" t="n">
        <v>1</v>
      </c>
      <c r="B13" s="4" t="s">
        <v>26</v>
      </c>
      <c r="C13" s="4" t="s">
        <v>27</v>
      </c>
      <c r="D13" s="4" t="s">
        <v>28</v>
      </c>
      <c r="E13" s="4" t="s">
        <v>82</v>
      </c>
      <c r="F13" s="4" t="s">
        <v>83</v>
      </c>
      <c r="G13" s="4" t="s">
        <v>31</v>
      </c>
      <c r="H13" s="4" t="s">
        <v>84</v>
      </c>
      <c r="I13" s="4" t="s">
        <v>33</v>
      </c>
      <c r="J13" s="4" t="s">
        <v>80</v>
      </c>
      <c r="K13" s="4" t="s">
        <v>51</v>
      </c>
      <c r="L13" s="4" t="s">
        <v>36</v>
      </c>
      <c r="M13" s="4" t="s">
        <v>37</v>
      </c>
      <c r="N13" s="4" t="n">
        <v>2</v>
      </c>
      <c r="O13" s="4"/>
    </row>
    <row r="14" customFormat="false" ht="23.85" hidden="false" customHeight="false" outlineLevel="0" collapsed="false">
      <c r="A14" s="4" t="n">
        <v>2</v>
      </c>
      <c r="B14" s="4" t="s">
        <v>85</v>
      </c>
      <c r="C14" s="4" t="s">
        <v>86</v>
      </c>
      <c r="D14" s="4" t="s">
        <v>28</v>
      </c>
      <c r="E14" s="4" t="s">
        <v>29</v>
      </c>
      <c r="F14" s="4" t="s">
        <v>30</v>
      </c>
      <c r="G14" s="4" t="s">
        <v>31</v>
      </c>
      <c r="H14" s="4" t="s">
        <v>32</v>
      </c>
      <c r="I14" s="4" t="s">
        <v>33</v>
      </c>
      <c r="J14" s="4" t="s">
        <v>87</v>
      </c>
      <c r="K14" s="4" t="s">
        <v>51</v>
      </c>
      <c r="L14" s="4" t="s">
        <v>37</v>
      </c>
      <c r="M14" s="4" t="s">
        <v>37</v>
      </c>
      <c r="N14" s="4" t="n">
        <v>3</v>
      </c>
      <c r="O14" s="4" t="s">
        <v>88</v>
      </c>
    </row>
    <row r="15" customFormat="false" ht="15" hidden="false" customHeight="false" outlineLevel="0" collapsed="false">
      <c r="A15" s="4" t="n">
        <v>2</v>
      </c>
      <c r="B15" s="4" t="s">
        <v>85</v>
      </c>
      <c r="C15" s="4" t="s">
        <v>86</v>
      </c>
      <c r="D15" s="4" t="s">
        <v>28</v>
      </c>
      <c r="E15" s="4" t="s">
        <v>39</v>
      </c>
      <c r="F15" s="4" t="s">
        <v>40</v>
      </c>
      <c r="G15" s="4" t="s">
        <v>31</v>
      </c>
      <c r="H15" s="4" t="s">
        <v>41</v>
      </c>
      <c r="I15" s="4" t="s">
        <v>33</v>
      </c>
      <c r="J15" s="4" t="s">
        <v>89</v>
      </c>
      <c r="K15" s="4" t="s">
        <v>51</v>
      </c>
      <c r="L15" s="4" t="s">
        <v>37</v>
      </c>
      <c r="M15" s="4" t="s">
        <v>37</v>
      </c>
      <c r="N15" s="4" t="n">
        <v>3</v>
      </c>
      <c r="O15" s="4"/>
    </row>
    <row r="16" customFormat="false" ht="15" hidden="false" customHeight="false" outlineLevel="0" collapsed="false">
      <c r="A16" s="4" t="n">
        <v>2</v>
      </c>
      <c r="B16" s="4" t="s">
        <v>85</v>
      </c>
      <c r="C16" s="4" t="s">
        <v>86</v>
      </c>
      <c r="D16" s="4" t="s">
        <v>28</v>
      </c>
      <c r="E16" s="4" t="s">
        <v>44</v>
      </c>
      <c r="F16" s="4" t="s">
        <v>45</v>
      </c>
      <c r="G16" s="4" t="s">
        <v>31</v>
      </c>
      <c r="H16" s="4" t="s">
        <v>41</v>
      </c>
      <c r="I16" s="4" t="s">
        <v>33</v>
      </c>
      <c r="J16" s="4" t="s">
        <v>90</v>
      </c>
      <c r="K16" s="4" t="s">
        <v>51</v>
      </c>
      <c r="L16" s="4" t="s">
        <v>37</v>
      </c>
      <c r="M16" s="4" t="s">
        <v>37</v>
      </c>
      <c r="N16" s="4" t="n">
        <v>3</v>
      </c>
      <c r="O16" s="4"/>
    </row>
    <row r="17" customFormat="false" ht="15" hidden="false" customHeight="false" outlineLevel="0" collapsed="false">
      <c r="A17" s="4" t="n">
        <v>2</v>
      </c>
      <c r="B17" s="4" t="s">
        <v>85</v>
      </c>
      <c r="C17" s="4" t="s">
        <v>86</v>
      </c>
      <c r="D17" s="4" t="s">
        <v>28</v>
      </c>
      <c r="E17" s="4" t="s">
        <v>48</v>
      </c>
      <c r="F17" s="4" t="s">
        <v>49</v>
      </c>
      <c r="G17" s="4" t="s">
        <v>31</v>
      </c>
      <c r="H17" s="4" t="s">
        <v>41</v>
      </c>
      <c r="I17" s="4" t="s">
        <v>33</v>
      </c>
      <c r="J17" s="4" t="s">
        <v>91</v>
      </c>
      <c r="K17" s="4" t="s">
        <v>51</v>
      </c>
      <c r="L17" s="4" t="s">
        <v>37</v>
      </c>
      <c r="M17" s="4" t="s">
        <v>37</v>
      </c>
      <c r="N17" s="4" t="n">
        <v>3</v>
      </c>
      <c r="O17" s="4"/>
    </row>
    <row r="18" customFormat="false" ht="15" hidden="false" customHeight="false" outlineLevel="0" collapsed="false">
      <c r="A18" s="4" t="n">
        <v>2</v>
      </c>
      <c r="B18" s="4" t="s">
        <v>85</v>
      </c>
      <c r="C18" s="4" t="s">
        <v>86</v>
      </c>
      <c r="D18" s="4" t="s">
        <v>28</v>
      </c>
      <c r="E18" s="4" t="s">
        <v>53</v>
      </c>
      <c r="F18" s="4" t="s">
        <v>54</v>
      </c>
      <c r="G18" s="4" t="s">
        <v>55</v>
      </c>
      <c r="H18" s="4" t="s">
        <v>41</v>
      </c>
      <c r="I18" s="4" t="s">
        <v>33</v>
      </c>
      <c r="J18" s="4" t="s">
        <v>91</v>
      </c>
      <c r="K18" s="4" t="s">
        <v>51</v>
      </c>
      <c r="L18" s="4" t="s">
        <v>37</v>
      </c>
      <c r="M18" s="4" t="s">
        <v>37</v>
      </c>
      <c r="N18" s="4" t="n">
        <v>4</v>
      </c>
      <c r="O18" s="4"/>
    </row>
    <row r="19" customFormat="false" ht="15" hidden="false" customHeight="false" outlineLevel="0" collapsed="false">
      <c r="A19" s="4" t="n">
        <v>2</v>
      </c>
      <c r="B19" s="4" t="s">
        <v>85</v>
      </c>
      <c r="C19" s="4" t="s">
        <v>86</v>
      </c>
      <c r="D19" s="4" t="s">
        <v>28</v>
      </c>
      <c r="E19" s="4" t="s">
        <v>58</v>
      </c>
      <c r="F19" s="4" t="s">
        <v>59</v>
      </c>
      <c r="G19" s="4" t="s">
        <v>31</v>
      </c>
      <c r="H19" s="4" t="s">
        <v>41</v>
      </c>
      <c r="I19" s="4" t="s">
        <v>33</v>
      </c>
      <c r="J19" s="4" t="s">
        <v>89</v>
      </c>
      <c r="K19" s="4" t="s">
        <v>51</v>
      </c>
      <c r="L19" s="4" t="s">
        <v>37</v>
      </c>
      <c r="M19" s="4" t="s">
        <v>37</v>
      </c>
      <c r="N19" s="4" t="n">
        <v>3</v>
      </c>
      <c r="O19" s="4"/>
    </row>
    <row r="20" customFormat="false" ht="15" hidden="false" customHeight="false" outlineLevel="0" collapsed="false">
      <c r="A20" s="4" t="n">
        <v>2</v>
      </c>
      <c r="B20" s="4" t="s">
        <v>85</v>
      </c>
      <c r="C20" s="4" t="s">
        <v>86</v>
      </c>
      <c r="D20" s="4" t="s">
        <v>28</v>
      </c>
      <c r="E20" s="4" t="s">
        <v>62</v>
      </c>
      <c r="F20" s="4" t="s">
        <v>63</v>
      </c>
      <c r="G20" s="4" t="s">
        <v>31</v>
      </c>
      <c r="H20" s="4" t="s">
        <v>64</v>
      </c>
      <c r="I20" s="4" t="s">
        <v>33</v>
      </c>
      <c r="J20" s="4" t="s">
        <v>91</v>
      </c>
      <c r="K20" s="4" t="s">
        <v>51</v>
      </c>
      <c r="L20" s="4" t="s">
        <v>37</v>
      </c>
      <c r="M20" s="4" t="s">
        <v>37</v>
      </c>
      <c r="N20" s="4" t="n">
        <v>4</v>
      </c>
      <c r="O20" s="4" t="s">
        <v>92</v>
      </c>
    </row>
    <row r="21" customFormat="false" ht="15" hidden="false" customHeight="false" outlineLevel="0" collapsed="false">
      <c r="A21" s="4" t="n">
        <v>2</v>
      </c>
      <c r="B21" s="4" t="s">
        <v>85</v>
      </c>
      <c r="C21" s="4" t="s">
        <v>86</v>
      </c>
      <c r="D21" s="4" t="s">
        <v>28</v>
      </c>
      <c r="E21" s="4" t="s">
        <v>67</v>
      </c>
      <c r="F21" s="4" t="s">
        <v>68</v>
      </c>
      <c r="G21" s="4" t="s">
        <v>31</v>
      </c>
      <c r="H21" s="4" t="s">
        <v>41</v>
      </c>
      <c r="I21" s="4" t="s">
        <v>33</v>
      </c>
      <c r="J21" s="4" t="s">
        <v>90</v>
      </c>
      <c r="K21" s="4" t="s">
        <v>51</v>
      </c>
      <c r="L21" s="4" t="s">
        <v>37</v>
      </c>
      <c r="M21" s="4" t="s">
        <v>37</v>
      </c>
      <c r="N21" s="4" t="n">
        <v>3</v>
      </c>
      <c r="O21" s="4"/>
    </row>
    <row r="22" customFormat="false" ht="23.85" hidden="false" customHeight="false" outlineLevel="0" collapsed="false">
      <c r="A22" s="4" t="n">
        <v>2</v>
      </c>
      <c r="B22" s="4" t="s">
        <v>85</v>
      </c>
      <c r="C22" s="4" t="s">
        <v>86</v>
      </c>
      <c r="D22" s="4" t="s">
        <v>28</v>
      </c>
      <c r="E22" s="4" t="s">
        <v>70</v>
      </c>
      <c r="F22" s="4" t="s">
        <v>71</v>
      </c>
      <c r="G22" s="4" t="s">
        <v>31</v>
      </c>
      <c r="H22" s="4" t="s">
        <v>41</v>
      </c>
      <c r="I22" s="4" t="s">
        <v>33</v>
      </c>
      <c r="J22" s="4" t="s">
        <v>87</v>
      </c>
      <c r="K22" s="4" t="s">
        <v>51</v>
      </c>
      <c r="L22" s="4" t="s">
        <v>37</v>
      </c>
      <c r="M22" s="4" t="s">
        <v>37</v>
      </c>
      <c r="N22" s="4" t="n">
        <v>2</v>
      </c>
      <c r="O22" s="4"/>
    </row>
    <row r="23" customFormat="false" ht="15" hidden="false" customHeight="false" outlineLevel="0" collapsed="false">
      <c r="A23" s="4" t="n">
        <v>2</v>
      </c>
      <c r="B23" s="4" t="s">
        <v>85</v>
      </c>
      <c r="C23" s="4" t="s">
        <v>86</v>
      </c>
      <c r="D23" s="4" t="s">
        <v>28</v>
      </c>
      <c r="E23" s="4" t="s">
        <v>73</v>
      </c>
      <c r="F23" s="4" t="s">
        <v>74</v>
      </c>
      <c r="G23" s="4" t="s">
        <v>31</v>
      </c>
      <c r="H23" s="4" t="s">
        <v>41</v>
      </c>
      <c r="I23" s="4" t="s">
        <v>33</v>
      </c>
      <c r="J23" s="4" t="s">
        <v>89</v>
      </c>
      <c r="K23" s="4" t="s">
        <v>51</v>
      </c>
      <c r="L23" s="4" t="s">
        <v>37</v>
      </c>
      <c r="M23" s="4" t="s">
        <v>37</v>
      </c>
      <c r="N23" s="4" t="n">
        <v>2</v>
      </c>
      <c r="O23" s="4"/>
    </row>
    <row r="24" customFormat="false" ht="23.85" hidden="false" customHeight="false" outlineLevel="0" collapsed="false">
      <c r="A24" s="4" t="n">
        <v>2</v>
      </c>
      <c r="B24" s="4" t="s">
        <v>85</v>
      </c>
      <c r="C24" s="4" t="s">
        <v>86</v>
      </c>
      <c r="D24" s="4" t="s">
        <v>28</v>
      </c>
      <c r="E24" s="4" t="s">
        <v>77</v>
      </c>
      <c r="F24" s="4" t="s">
        <v>78</v>
      </c>
      <c r="G24" s="4" t="s">
        <v>31</v>
      </c>
      <c r="H24" s="4" t="s">
        <v>79</v>
      </c>
      <c r="I24" s="4" t="s">
        <v>93</v>
      </c>
      <c r="J24" s="4" t="s">
        <v>94</v>
      </c>
      <c r="K24" s="4" t="s">
        <v>51</v>
      </c>
      <c r="L24" s="4" t="s">
        <v>37</v>
      </c>
      <c r="M24" s="4" t="s">
        <v>37</v>
      </c>
      <c r="N24" s="4" t="n">
        <v>2</v>
      </c>
      <c r="O24" s="4" t="s">
        <v>95</v>
      </c>
    </row>
    <row r="25" customFormat="false" ht="15" hidden="false" customHeight="false" outlineLevel="0" collapsed="false">
      <c r="A25" s="4" t="n">
        <v>2</v>
      </c>
      <c r="B25" s="4" t="s">
        <v>85</v>
      </c>
      <c r="C25" s="4" t="s">
        <v>86</v>
      </c>
      <c r="D25" s="4" t="s">
        <v>28</v>
      </c>
      <c r="E25" s="4" t="s">
        <v>82</v>
      </c>
      <c r="F25" s="4" t="s">
        <v>83</v>
      </c>
      <c r="G25" s="4" t="s">
        <v>31</v>
      </c>
      <c r="H25" s="4" t="s">
        <v>84</v>
      </c>
      <c r="I25" s="4" t="s">
        <v>93</v>
      </c>
      <c r="J25" s="4" t="s">
        <v>96</v>
      </c>
      <c r="K25" s="4" t="s">
        <v>51</v>
      </c>
      <c r="L25" s="4" t="s">
        <v>37</v>
      </c>
      <c r="M25" s="4" t="s">
        <v>37</v>
      </c>
      <c r="N25" s="4" t="n">
        <v>2</v>
      </c>
      <c r="O25" s="4"/>
    </row>
    <row r="26" customFormat="false" ht="15" hidden="false" customHeight="false" outlineLevel="0" collapsed="false">
      <c r="A26" s="4" t="n">
        <v>2</v>
      </c>
      <c r="B26" s="4" t="s">
        <v>85</v>
      </c>
      <c r="C26" s="4" t="s">
        <v>86</v>
      </c>
      <c r="D26" s="4" t="s">
        <v>28</v>
      </c>
      <c r="E26" s="4" t="s">
        <v>97</v>
      </c>
      <c r="F26" s="4" t="s">
        <v>98</v>
      </c>
      <c r="G26" s="4" t="s">
        <v>55</v>
      </c>
      <c r="H26" s="4" t="s">
        <v>84</v>
      </c>
      <c r="I26" s="4" t="s">
        <v>93</v>
      </c>
      <c r="J26" s="4" t="s">
        <v>96</v>
      </c>
      <c r="K26" s="4" t="s">
        <v>51</v>
      </c>
      <c r="L26" s="4" t="s">
        <v>36</v>
      </c>
      <c r="M26" s="4" t="s">
        <v>37</v>
      </c>
      <c r="N26" s="4" t="n">
        <v>1</v>
      </c>
      <c r="O26" s="4"/>
    </row>
    <row r="27" customFormat="false" ht="23.85" hidden="false" customHeight="false" outlineLevel="0" collapsed="false">
      <c r="A27" s="4" t="n">
        <v>2</v>
      </c>
      <c r="B27" s="4" t="s">
        <v>85</v>
      </c>
      <c r="C27" s="4" t="s">
        <v>86</v>
      </c>
      <c r="D27" s="4" t="s">
        <v>28</v>
      </c>
      <c r="E27" s="4" t="s">
        <v>99</v>
      </c>
      <c r="F27" s="4" t="s">
        <v>100</v>
      </c>
      <c r="G27" s="4" t="s">
        <v>31</v>
      </c>
      <c r="H27" s="4" t="s">
        <v>101</v>
      </c>
      <c r="I27" s="4" t="s">
        <v>93</v>
      </c>
      <c r="J27" s="4" t="s">
        <v>94</v>
      </c>
      <c r="K27" s="4" t="s">
        <v>102</v>
      </c>
      <c r="L27" s="4" t="s">
        <v>36</v>
      </c>
      <c r="M27" s="4" t="s">
        <v>37</v>
      </c>
      <c r="N27" s="4" t="n">
        <v>2</v>
      </c>
      <c r="O27" s="4" t="s">
        <v>103</v>
      </c>
    </row>
    <row r="28" customFormat="false" ht="15" hidden="false" customHeight="false" outlineLevel="0" collapsed="false">
      <c r="A28" s="4" t="n">
        <v>2</v>
      </c>
      <c r="B28" s="4" t="s">
        <v>85</v>
      </c>
      <c r="C28" s="4" t="s">
        <v>86</v>
      </c>
      <c r="D28" s="4" t="s">
        <v>28</v>
      </c>
      <c r="E28" s="4" t="s">
        <v>104</v>
      </c>
      <c r="F28" s="4" t="s">
        <v>105</v>
      </c>
      <c r="G28" s="4" t="s">
        <v>55</v>
      </c>
      <c r="H28" s="4" t="s">
        <v>106</v>
      </c>
      <c r="I28" s="4" t="s">
        <v>93</v>
      </c>
      <c r="J28" s="4" t="s">
        <v>107</v>
      </c>
      <c r="K28" s="4" t="s">
        <v>51</v>
      </c>
      <c r="L28" s="4" t="s">
        <v>36</v>
      </c>
      <c r="M28" s="4" t="s">
        <v>36</v>
      </c>
      <c r="N28" s="4" t="n">
        <v>3</v>
      </c>
      <c r="O28" s="4" t="s">
        <v>108</v>
      </c>
    </row>
    <row r="29" customFormat="false" ht="15" hidden="false" customHeight="false" outlineLevel="0" collapsed="false">
      <c r="A29" s="4" t="n">
        <v>2</v>
      </c>
      <c r="B29" s="4" t="s">
        <v>85</v>
      </c>
      <c r="C29" s="4" t="s">
        <v>86</v>
      </c>
      <c r="D29" s="4" t="s">
        <v>28</v>
      </c>
      <c r="E29" s="4" t="s">
        <v>109</v>
      </c>
      <c r="F29" s="4" t="s">
        <v>110</v>
      </c>
      <c r="G29" s="4" t="s">
        <v>55</v>
      </c>
      <c r="H29" s="4" t="s">
        <v>41</v>
      </c>
      <c r="I29" s="4" t="s">
        <v>93</v>
      </c>
      <c r="J29" s="4" t="s">
        <v>111</v>
      </c>
      <c r="K29" s="4" t="s">
        <v>51</v>
      </c>
      <c r="L29" s="4" t="s">
        <v>36</v>
      </c>
      <c r="M29" s="4" t="s">
        <v>37</v>
      </c>
      <c r="N29" s="4" t="n">
        <v>1</v>
      </c>
      <c r="O29" s="4"/>
    </row>
    <row r="30" customFormat="false" ht="23.85" hidden="false" customHeight="false" outlineLevel="0" collapsed="false">
      <c r="A30" s="4" t="n">
        <v>2</v>
      </c>
      <c r="B30" s="4" t="s">
        <v>85</v>
      </c>
      <c r="C30" s="4" t="s">
        <v>86</v>
      </c>
      <c r="D30" s="4" t="s">
        <v>28</v>
      </c>
      <c r="E30" s="4" t="s">
        <v>112</v>
      </c>
      <c r="F30" s="4" t="s">
        <v>113</v>
      </c>
      <c r="G30" s="4" t="s">
        <v>114</v>
      </c>
      <c r="H30" s="4" t="s">
        <v>115</v>
      </c>
      <c r="I30" s="4" t="s">
        <v>93</v>
      </c>
      <c r="J30" s="4" t="s">
        <v>111</v>
      </c>
      <c r="K30" s="4" t="s">
        <v>102</v>
      </c>
      <c r="L30" s="4" t="s">
        <v>36</v>
      </c>
      <c r="M30" s="4" t="s">
        <v>37</v>
      </c>
      <c r="N30" s="4" t="n">
        <v>3</v>
      </c>
      <c r="O30" s="4" t="s">
        <v>116</v>
      </c>
    </row>
    <row r="31" customFormat="false" ht="23.85" hidden="false" customHeight="false" outlineLevel="0" collapsed="false">
      <c r="A31" s="4" t="n">
        <v>2</v>
      </c>
      <c r="B31" s="4" t="s">
        <v>85</v>
      </c>
      <c r="C31" s="4" t="s">
        <v>86</v>
      </c>
      <c r="D31" s="4" t="s">
        <v>28</v>
      </c>
      <c r="E31" s="4" t="s">
        <v>117</v>
      </c>
      <c r="F31" s="4" t="s">
        <v>118</v>
      </c>
      <c r="G31" s="4" t="s">
        <v>119</v>
      </c>
      <c r="H31" s="4" t="s">
        <v>41</v>
      </c>
      <c r="I31" s="4" t="s">
        <v>120</v>
      </c>
      <c r="J31" s="4" t="s">
        <v>121</v>
      </c>
      <c r="K31" s="4" t="s">
        <v>51</v>
      </c>
      <c r="L31" s="4" t="s">
        <v>36</v>
      </c>
      <c r="M31" s="4" t="s">
        <v>37</v>
      </c>
      <c r="N31" s="4" t="n">
        <v>2</v>
      </c>
      <c r="O31" s="4" t="s">
        <v>122</v>
      </c>
    </row>
    <row r="32" customFormat="false" ht="15" hidden="false" customHeight="false" outlineLevel="0" collapsed="false">
      <c r="A32" s="4" t="n">
        <v>3</v>
      </c>
      <c r="B32" s="4" t="s">
        <v>123</v>
      </c>
      <c r="C32" s="4" t="s">
        <v>124</v>
      </c>
      <c r="D32" s="4" t="s">
        <v>125</v>
      </c>
      <c r="E32" s="4" t="s">
        <v>126</v>
      </c>
      <c r="F32" s="4" t="s">
        <v>127</v>
      </c>
      <c r="G32" s="4" t="s">
        <v>55</v>
      </c>
      <c r="H32" s="4" t="s">
        <v>128</v>
      </c>
      <c r="I32" s="4" t="s">
        <v>93</v>
      </c>
      <c r="J32" s="4" t="s">
        <v>129</v>
      </c>
      <c r="K32" s="4" t="s">
        <v>51</v>
      </c>
      <c r="L32" s="4" t="s">
        <v>36</v>
      </c>
      <c r="M32" s="4" t="s">
        <v>37</v>
      </c>
      <c r="N32" s="4" t="n">
        <v>2</v>
      </c>
      <c r="O32" s="4" t="s">
        <v>130</v>
      </c>
    </row>
    <row r="33" customFormat="false" ht="23.85" hidden="false" customHeight="false" outlineLevel="0" collapsed="false">
      <c r="A33" s="4" t="n">
        <v>3</v>
      </c>
      <c r="B33" s="4" t="s">
        <v>123</v>
      </c>
      <c r="C33" s="4" t="s">
        <v>124</v>
      </c>
      <c r="D33" s="4" t="s">
        <v>125</v>
      </c>
      <c r="E33" s="4" t="s">
        <v>131</v>
      </c>
      <c r="F33" s="4" t="s">
        <v>132</v>
      </c>
      <c r="G33" s="4" t="s">
        <v>55</v>
      </c>
      <c r="H33" s="4" t="s">
        <v>64</v>
      </c>
      <c r="I33" s="4" t="s">
        <v>93</v>
      </c>
      <c r="J33" s="4" t="s">
        <v>133</v>
      </c>
      <c r="K33" s="4" t="s">
        <v>51</v>
      </c>
      <c r="L33" s="4" t="s">
        <v>36</v>
      </c>
      <c r="M33" s="4" t="s">
        <v>37</v>
      </c>
      <c r="N33" s="4" t="n">
        <v>1</v>
      </c>
      <c r="O33" s="4" t="s">
        <v>134</v>
      </c>
    </row>
    <row r="34" customFormat="false" ht="15" hidden="false" customHeight="false" outlineLevel="0" collapsed="false">
      <c r="A34" s="4" t="n">
        <v>3</v>
      </c>
      <c r="B34" s="4" t="s">
        <v>123</v>
      </c>
      <c r="C34" s="4" t="s">
        <v>124</v>
      </c>
      <c r="D34" s="4" t="s">
        <v>125</v>
      </c>
      <c r="E34" s="4" t="s">
        <v>135</v>
      </c>
      <c r="F34" s="4" t="s">
        <v>136</v>
      </c>
      <c r="G34" s="4" t="s">
        <v>55</v>
      </c>
      <c r="H34" s="4" t="s">
        <v>137</v>
      </c>
      <c r="I34" s="4" t="s">
        <v>93</v>
      </c>
      <c r="J34" s="4" t="s">
        <v>138</v>
      </c>
      <c r="K34" s="4" t="s">
        <v>102</v>
      </c>
      <c r="L34" s="4" t="s">
        <v>36</v>
      </c>
      <c r="M34" s="4" t="s">
        <v>37</v>
      </c>
      <c r="N34" s="4" t="n">
        <v>2</v>
      </c>
      <c r="O34" s="4" t="s">
        <v>139</v>
      </c>
    </row>
    <row r="35" customFormat="false" ht="15" hidden="false" customHeight="false" outlineLevel="0" collapsed="false">
      <c r="A35" s="4" t="n">
        <v>3</v>
      </c>
      <c r="B35" s="4" t="s">
        <v>123</v>
      </c>
      <c r="C35" s="4" t="s">
        <v>124</v>
      </c>
      <c r="D35" s="4" t="s">
        <v>125</v>
      </c>
      <c r="E35" s="4" t="s">
        <v>140</v>
      </c>
      <c r="F35" s="4" t="s">
        <v>141</v>
      </c>
      <c r="G35" s="4" t="s">
        <v>55</v>
      </c>
      <c r="H35" s="4" t="s">
        <v>41</v>
      </c>
      <c r="I35" s="4" t="s">
        <v>93</v>
      </c>
      <c r="J35" s="4" t="s">
        <v>142</v>
      </c>
      <c r="K35" s="4" t="s">
        <v>51</v>
      </c>
      <c r="L35" s="4" t="s">
        <v>36</v>
      </c>
      <c r="M35" s="4" t="s">
        <v>37</v>
      </c>
      <c r="N35" s="4" t="n">
        <v>1</v>
      </c>
      <c r="O35" s="4"/>
    </row>
    <row r="36" customFormat="false" ht="15" hidden="false" customHeight="false" outlineLevel="0" collapsed="false">
      <c r="A36" s="4" t="n">
        <v>3</v>
      </c>
      <c r="B36" s="4" t="s">
        <v>123</v>
      </c>
      <c r="C36" s="4" t="s">
        <v>124</v>
      </c>
      <c r="D36" s="4" t="s">
        <v>125</v>
      </c>
      <c r="E36" s="4" t="s">
        <v>143</v>
      </c>
      <c r="F36" s="4" t="s">
        <v>144</v>
      </c>
      <c r="G36" s="4" t="s">
        <v>55</v>
      </c>
      <c r="H36" s="4" t="s">
        <v>41</v>
      </c>
      <c r="I36" s="4" t="s">
        <v>93</v>
      </c>
      <c r="J36" s="4" t="s">
        <v>145</v>
      </c>
      <c r="K36" s="4" t="s">
        <v>51</v>
      </c>
      <c r="L36" s="4" t="s">
        <v>36</v>
      </c>
      <c r="M36" s="4" t="s">
        <v>37</v>
      </c>
      <c r="N36" s="4" t="n">
        <v>1</v>
      </c>
      <c r="O36" s="4"/>
    </row>
    <row r="37" customFormat="false" ht="23.85" hidden="false" customHeight="false" outlineLevel="0" collapsed="false">
      <c r="A37" s="4" t="n">
        <v>3</v>
      </c>
      <c r="B37" s="4" t="s">
        <v>123</v>
      </c>
      <c r="C37" s="4" t="s">
        <v>124</v>
      </c>
      <c r="D37" s="4" t="s">
        <v>125</v>
      </c>
      <c r="E37" s="4" t="s">
        <v>146</v>
      </c>
      <c r="F37" s="4" t="s">
        <v>147</v>
      </c>
      <c r="G37" s="4" t="s">
        <v>55</v>
      </c>
      <c r="H37" s="4" t="s">
        <v>148</v>
      </c>
      <c r="I37" s="4" t="s">
        <v>149</v>
      </c>
      <c r="J37" s="4" t="s">
        <v>145</v>
      </c>
      <c r="K37" s="4" t="s">
        <v>102</v>
      </c>
      <c r="L37" s="4" t="s">
        <v>36</v>
      </c>
      <c r="M37" s="4" t="s">
        <v>37</v>
      </c>
      <c r="N37" s="4" t="n">
        <v>1</v>
      </c>
      <c r="O37" s="4" t="s">
        <v>150</v>
      </c>
    </row>
    <row r="38" customFormat="false" ht="15" hidden="false" customHeight="false" outlineLevel="0" collapsed="false">
      <c r="A38" s="4" t="n">
        <v>3</v>
      </c>
      <c r="B38" s="4" t="s">
        <v>123</v>
      </c>
      <c r="C38" s="4" t="s">
        <v>124</v>
      </c>
      <c r="D38" s="4" t="s">
        <v>125</v>
      </c>
      <c r="E38" s="4" t="s">
        <v>151</v>
      </c>
      <c r="F38" s="4" t="s">
        <v>152</v>
      </c>
      <c r="G38" s="4" t="s">
        <v>55</v>
      </c>
      <c r="H38" s="4" t="s">
        <v>153</v>
      </c>
      <c r="I38" s="4" t="s">
        <v>149</v>
      </c>
      <c r="J38" s="4" t="s">
        <v>154</v>
      </c>
      <c r="K38" s="4" t="s">
        <v>51</v>
      </c>
      <c r="L38" s="4" t="s">
        <v>36</v>
      </c>
      <c r="M38" s="4" t="s">
        <v>37</v>
      </c>
      <c r="N38" s="4" t="n">
        <v>2</v>
      </c>
      <c r="O38" s="4"/>
    </row>
    <row r="39" customFormat="false" ht="23.85" hidden="false" customHeight="false" outlineLevel="0" collapsed="false">
      <c r="A39" s="4" t="n">
        <v>3</v>
      </c>
      <c r="B39" s="4" t="s">
        <v>123</v>
      </c>
      <c r="C39" s="4" t="s">
        <v>124</v>
      </c>
      <c r="D39" s="4" t="s">
        <v>125</v>
      </c>
      <c r="E39" s="4" t="s">
        <v>155</v>
      </c>
      <c r="F39" s="4" t="s">
        <v>156</v>
      </c>
      <c r="G39" s="4" t="s">
        <v>114</v>
      </c>
      <c r="H39" s="4" t="s">
        <v>64</v>
      </c>
      <c r="I39" s="4" t="s">
        <v>149</v>
      </c>
      <c r="J39" s="4" t="s">
        <v>157</v>
      </c>
      <c r="K39" s="4" t="s">
        <v>158</v>
      </c>
      <c r="L39" s="4" t="s">
        <v>36</v>
      </c>
      <c r="M39" s="4" t="s">
        <v>37</v>
      </c>
      <c r="N39" s="4" t="n">
        <v>2</v>
      </c>
      <c r="O39" s="4" t="s">
        <v>159</v>
      </c>
    </row>
    <row r="40" customFormat="false" ht="23.85" hidden="false" customHeight="false" outlineLevel="0" collapsed="false">
      <c r="A40" s="4" t="n">
        <v>3</v>
      </c>
      <c r="B40" s="4" t="s">
        <v>123</v>
      </c>
      <c r="C40" s="4" t="s">
        <v>124</v>
      </c>
      <c r="D40" s="4" t="s">
        <v>125</v>
      </c>
      <c r="E40" s="4" t="s">
        <v>160</v>
      </c>
      <c r="F40" s="4" t="s">
        <v>161</v>
      </c>
      <c r="G40" s="4" t="s">
        <v>114</v>
      </c>
      <c r="H40" s="4" t="s">
        <v>162</v>
      </c>
      <c r="I40" s="4" t="s">
        <v>149</v>
      </c>
      <c r="J40" s="4" t="s">
        <v>163</v>
      </c>
      <c r="K40" s="4" t="s">
        <v>102</v>
      </c>
      <c r="L40" s="4" t="s">
        <v>36</v>
      </c>
      <c r="M40" s="4" t="s">
        <v>36</v>
      </c>
      <c r="N40" s="4" t="n">
        <v>1</v>
      </c>
      <c r="O40" s="4" t="s">
        <v>164</v>
      </c>
    </row>
    <row r="41" customFormat="false" ht="15" hidden="false" customHeight="false" outlineLevel="0" collapsed="false">
      <c r="A41" s="4" t="n">
        <v>3</v>
      </c>
      <c r="B41" s="4" t="s">
        <v>123</v>
      </c>
      <c r="C41" s="4" t="s">
        <v>124</v>
      </c>
      <c r="D41" s="4" t="s">
        <v>125</v>
      </c>
      <c r="E41" s="4" t="s">
        <v>165</v>
      </c>
      <c r="F41" s="4" t="s">
        <v>166</v>
      </c>
      <c r="G41" s="4" t="s">
        <v>31</v>
      </c>
      <c r="H41" s="4" t="s">
        <v>41</v>
      </c>
      <c r="I41" s="4" t="s">
        <v>33</v>
      </c>
      <c r="J41" s="4" t="s">
        <v>167</v>
      </c>
      <c r="K41" s="4" t="s">
        <v>51</v>
      </c>
      <c r="L41" s="4" t="s">
        <v>36</v>
      </c>
      <c r="M41" s="4" t="s">
        <v>37</v>
      </c>
      <c r="N41" s="4" t="n">
        <v>2</v>
      </c>
      <c r="O41" s="4"/>
    </row>
    <row r="42" customFormat="false" ht="23.85" hidden="false" customHeight="false" outlineLevel="0" collapsed="false">
      <c r="A42" s="4" t="n">
        <v>3</v>
      </c>
      <c r="B42" s="4" t="s">
        <v>123</v>
      </c>
      <c r="C42" s="4" t="s">
        <v>124</v>
      </c>
      <c r="D42" s="4" t="s">
        <v>125</v>
      </c>
      <c r="E42" s="4" t="s">
        <v>53</v>
      </c>
      <c r="F42" s="4" t="s">
        <v>54</v>
      </c>
      <c r="G42" s="4" t="s">
        <v>55</v>
      </c>
      <c r="H42" s="4" t="s">
        <v>41</v>
      </c>
      <c r="I42" s="4" t="s">
        <v>33</v>
      </c>
      <c r="J42" s="4" t="s">
        <v>168</v>
      </c>
      <c r="K42" s="4" t="s">
        <v>51</v>
      </c>
      <c r="L42" s="4" t="s">
        <v>37</v>
      </c>
      <c r="M42" s="4" t="s">
        <v>37</v>
      </c>
      <c r="N42" s="4" t="n">
        <v>4</v>
      </c>
      <c r="O42" s="4" t="s">
        <v>169</v>
      </c>
    </row>
    <row r="43" customFormat="false" ht="15" hidden="false" customHeight="false" outlineLevel="0" collapsed="false">
      <c r="A43" s="4" t="n">
        <v>3</v>
      </c>
      <c r="B43" s="4" t="s">
        <v>123</v>
      </c>
      <c r="C43" s="4" t="s">
        <v>124</v>
      </c>
      <c r="D43" s="4" t="s">
        <v>125</v>
      </c>
      <c r="E43" s="4" t="s">
        <v>170</v>
      </c>
      <c r="F43" s="4" t="s">
        <v>171</v>
      </c>
      <c r="G43" s="4" t="s">
        <v>119</v>
      </c>
      <c r="H43" s="4" t="s">
        <v>41</v>
      </c>
      <c r="I43" s="4" t="s">
        <v>120</v>
      </c>
      <c r="J43" s="4" t="s">
        <v>172</v>
      </c>
      <c r="K43" s="4" t="s">
        <v>51</v>
      </c>
      <c r="L43" s="4" t="s">
        <v>36</v>
      </c>
      <c r="M43" s="4" t="s">
        <v>37</v>
      </c>
      <c r="N43" s="4" t="n">
        <v>3</v>
      </c>
      <c r="O43" s="4" t="s">
        <v>173</v>
      </c>
    </row>
    <row r="44" customFormat="false" ht="15" hidden="false" customHeight="false" outlineLevel="0" collapsed="false">
      <c r="A44" s="4" t="n">
        <v>3</v>
      </c>
      <c r="B44" s="4" t="s">
        <v>123</v>
      </c>
      <c r="C44" s="4" t="s">
        <v>124</v>
      </c>
      <c r="D44" s="4" t="s">
        <v>125</v>
      </c>
      <c r="E44" s="4" t="s">
        <v>174</v>
      </c>
      <c r="F44" s="4" t="s">
        <v>175</v>
      </c>
      <c r="G44" s="4" t="s">
        <v>176</v>
      </c>
      <c r="H44" s="4" t="s">
        <v>177</v>
      </c>
      <c r="I44" s="4" t="s">
        <v>120</v>
      </c>
      <c r="J44" s="4" t="s">
        <v>172</v>
      </c>
      <c r="K44" s="4" t="s">
        <v>102</v>
      </c>
      <c r="L44" s="4" t="s">
        <v>36</v>
      </c>
      <c r="M44" s="4" t="s">
        <v>37</v>
      </c>
      <c r="N44" s="4" t="n">
        <v>1</v>
      </c>
      <c r="O44" s="4" t="s">
        <v>178</v>
      </c>
    </row>
    <row r="45" customFormat="false" ht="23.85" hidden="false" customHeight="false" outlineLevel="0" collapsed="false">
      <c r="A45" s="4" t="n">
        <v>4</v>
      </c>
      <c r="B45" s="4" t="s">
        <v>179</v>
      </c>
      <c r="C45" s="4" t="s">
        <v>180</v>
      </c>
      <c r="D45" s="4" t="s">
        <v>125</v>
      </c>
      <c r="E45" s="4" t="s">
        <v>181</v>
      </c>
      <c r="F45" s="4" t="s">
        <v>182</v>
      </c>
      <c r="G45" s="4" t="s">
        <v>114</v>
      </c>
      <c r="H45" s="4" t="s">
        <v>183</v>
      </c>
      <c r="I45" s="4" t="s">
        <v>184</v>
      </c>
      <c r="J45" s="4" t="s">
        <v>185</v>
      </c>
      <c r="K45" s="4" t="s">
        <v>102</v>
      </c>
      <c r="L45" s="4" t="s">
        <v>36</v>
      </c>
      <c r="M45" s="4" t="s">
        <v>37</v>
      </c>
      <c r="N45" s="4" t="n">
        <v>1</v>
      </c>
      <c r="O45" s="4" t="s">
        <v>186</v>
      </c>
    </row>
    <row r="46" customFormat="false" ht="15" hidden="false" customHeight="false" outlineLevel="0" collapsed="false">
      <c r="A46" s="4" t="n">
        <v>4</v>
      </c>
      <c r="B46" s="4" t="s">
        <v>179</v>
      </c>
      <c r="C46" s="4" t="s">
        <v>180</v>
      </c>
      <c r="D46" s="4" t="s">
        <v>125</v>
      </c>
      <c r="E46" s="4" t="s">
        <v>187</v>
      </c>
      <c r="F46" s="4" t="s">
        <v>188</v>
      </c>
      <c r="G46" s="4" t="s">
        <v>31</v>
      </c>
      <c r="H46" s="4" t="s">
        <v>41</v>
      </c>
      <c r="I46" s="4" t="s">
        <v>184</v>
      </c>
      <c r="J46" s="4" t="s">
        <v>189</v>
      </c>
      <c r="K46" s="4" t="s">
        <v>51</v>
      </c>
      <c r="L46" s="4" t="s">
        <v>36</v>
      </c>
      <c r="M46" s="4" t="s">
        <v>37</v>
      </c>
      <c r="N46" s="4" t="n">
        <v>1</v>
      </c>
      <c r="O46" s="4" t="s">
        <v>190</v>
      </c>
    </row>
    <row r="47" customFormat="false" ht="23.85" hidden="false" customHeight="false" outlineLevel="0" collapsed="false">
      <c r="A47" s="4" t="n">
        <v>4</v>
      </c>
      <c r="B47" s="4" t="s">
        <v>179</v>
      </c>
      <c r="C47" s="4" t="s">
        <v>180</v>
      </c>
      <c r="D47" s="4" t="s">
        <v>125</v>
      </c>
      <c r="E47" s="4" t="s">
        <v>135</v>
      </c>
      <c r="F47" s="4" t="s">
        <v>136</v>
      </c>
      <c r="G47" s="4" t="s">
        <v>55</v>
      </c>
      <c r="H47" s="4" t="s">
        <v>137</v>
      </c>
      <c r="I47" s="4" t="s">
        <v>191</v>
      </c>
      <c r="J47" s="4" t="s">
        <v>189</v>
      </c>
      <c r="K47" s="4" t="s">
        <v>102</v>
      </c>
      <c r="L47" s="4" t="s">
        <v>37</v>
      </c>
      <c r="M47" s="4" t="s">
        <v>37</v>
      </c>
      <c r="N47" s="4" t="n">
        <v>2</v>
      </c>
      <c r="O47" s="4"/>
    </row>
    <row r="48" customFormat="false" ht="23.85" hidden="false" customHeight="false" outlineLevel="0" collapsed="false">
      <c r="A48" s="4" t="n">
        <v>4</v>
      </c>
      <c r="B48" s="4" t="s">
        <v>179</v>
      </c>
      <c r="C48" s="4" t="s">
        <v>180</v>
      </c>
      <c r="D48" s="4" t="s">
        <v>125</v>
      </c>
      <c r="E48" s="4" t="s">
        <v>29</v>
      </c>
      <c r="F48" s="4" t="s">
        <v>30</v>
      </c>
      <c r="G48" s="4" t="s">
        <v>31</v>
      </c>
      <c r="H48" s="4" t="s">
        <v>32</v>
      </c>
      <c r="I48" s="4" t="s">
        <v>191</v>
      </c>
      <c r="J48" s="4" t="s">
        <v>192</v>
      </c>
      <c r="K48" s="4" t="s">
        <v>51</v>
      </c>
      <c r="L48" s="4" t="s">
        <v>37</v>
      </c>
      <c r="M48" s="4" t="s">
        <v>37</v>
      </c>
      <c r="N48" s="4" t="n">
        <v>3</v>
      </c>
      <c r="O48" s="4"/>
    </row>
    <row r="49" customFormat="false" ht="23.85" hidden="false" customHeight="false" outlineLevel="0" collapsed="false">
      <c r="A49" s="4" t="n">
        <v>4</v>
      </c>
      <c r="B49" s="4" t="s">
        <v>179</v>
      </c>
      <c r="C49" s="4" t="s">
        <v>180</v>
      </c>
      <c r="D49" s="4" t="s">
        <v>125</v>
      </c>
      <c r="E49" s="4" t="s">
        <v>67</v>
      </c>
      <c r="F49" s="4" t="s">
        <v>68</v>
      </c>
      <c r="G49" s="4" t="s">
        <v>31</v>
      </c>
      <c r="H49" s="4" t="s">
        <v>41</v>
      </c>
      <c r="I49" s="4" t="s">
        <v>191</v>
      </c>
      <c r="J49" s="4" t="s">
        <v>193</v>
      </c>
      <c r="K49" s="4" t="s">
        <v>51</v>
      </c>
      <c r="L49" s="4" t="s">
        <v>37</v>
      </c>
      <c r="M49" s="4" t="s">
        <v>37</v>
      </c>
      <c r="N49" s="4" t="n">
        <v>3</v>
      </c>
      <c r="O49" s="4"/>
    </row>
    <row r="50" customFormat="false" ht="23.85" hidden="false" customHeight="false" outlineLevel="0" collapsed="false">
      <c r="A50" s="4" t="n">
        <v>4</v>
      </c>
      <c r="B50" s="4" t="s">
        <v>179</v>
      </c>
      <c r="C50" s="4" t="s">
        <v>180</v>
      </c>
      <c r="D50" s="4" t="s">
        <v>125</v>
      </c>
      <c r="E50" s="4" t="s">
        <v>44</v>
      </c>
      <c r="F50" s="4" t="s">
        <v>45</v>
      </c>
      <c r="G50" s="4" t="s">
        <v>31</v>
      </c>
      <c r="H50" s="4" t="s">
        <v>41</v>
      </c>
      <c r="I50" s="4" t="s">
        <v>191</v>
      </c>
      <c r="J50" s="4" t="s">
        <v>194</v>
      </c>
      <c r="K50" s="4" t="s">
        <v>51</v>
      </c>
      <c r="L50" s="4" t="s">
        <v>37</v>
      </c>
      <c r="M50" s="4" t="s">
        <v>37</v>
      </c>
      <c r="N50" s="4" t="n">
        <v>3</v>
      </c>
      <c r="O50" s="4"/>
    </row>
    <row r="51" customFormat="false" ht="23.85" hidden="false" customHeight="false" outlineLevel="0" collapsed="false">
      <c r="A51" s="4" t="n">
        <v>4</v>
      </c>
      <c r="B51" s="4" t="s">
        <v>179</v>
      </c>
      <c r="C51" s="4" t="s">
        <v>180</v>
      </c>
      <c r="D51" s="4" t="s">
        <v>125</v>
      </c>
      <c r="E51" s="4" t="s">
        <v>165</v>
      </c>
      <c r="F51" s="4" t="s">
        <v>166</v>
      </c>
      <c r="G51" s="4" t="s">
        <v>31</v>
      </c>
      <c r="H51" s="4" t="s">
        <v>41</v>
      </c>
      <c r="I51" s="4" t="s">
        <v>191</v>
      </c>
      <c r="J51" s="4" t="s">
        <v>195</v>
      </c>
      <c r="K51" s="4" t="s">
        <v>51</v>
      </c>
      <c r="L51" s="4" t="s">
        <v>37</v>
      </c>
      <c r="M51" s="4" t="s">
        <v>37</v>
      </c>
      <c r="N51" s="4" t="n">
        <v>2</v>
      </c>
      <c r="O51" s="4"/>
    </row>
    <row r="52" customFormat="false" ht="23.85" hidden="false" customHeight="false" outlineLevel="0" collapsed="false">
      <c r="A52" s="4" t="n">
        <v>4</v>
      </c>
      <c r="B52" s="4" t="s">
        <v>179</v>
      </c>
      <c r="C52" s="4" t="s">
        <v>180</v>
      </c>
      <c r="D52" s="4" t="s">
        <v>125</v>
      </c>
      <c r="E52" s="4" t="s">
        <v>155</v>
      </c>
      <c r="F52" s="4" t="s">
        <v>156</v>
      </c>
      <c r="G52" s="4" t="s">
        <v>114</v>
      </c>
      <c r="H52" s="4" t="s">
        <v>64</v>
      </c>
      <c r="I52" s="4" t="s">
        <v>191</v>
      </c>
      <c r="J52" s="4" t="s">
        <v>192</v>
      </c>
      <c r="K52" s="4" t="s">
        <v>51</v>
      </c>
      <c r="L52" s="4" t="s">
        <v>37</v>
      </c>
      <c r="M52" s="4" t="s">
        <v>37</v>
      </c>
      <c r="N52" s="4" t="n">
        <v>2</v>
      </c>
      <c r="O52" s="4"/>
    </row>
    <row r="53" customFormat="false" ht="23.85" hidden="false" customHeight="false" outlineLevel="0" collapsed="false">
      <c r="A53" s="4" t="n">
        <v>4</v>
      </c>
      <c r="B53" s="4" t="s">
        <v>179</v>
      </c>
      <c r="C53" s="4" t="s">
        <v>180</v>
      </c>
      <c r="D53" s="4" t="s">
        <v>125</v>
      </c>
      <c r="E53" s="4" t="s">
        <v>151</v>
      </c>
      <c r="F53" s="4" t="s">
        <v>152</v>
      </c>
      <c r="G53" s="4" t="s">
        <v>55</v>
      </c>
      <c r="H53" s="4" t="s">
        <v>153</v>
      </c>
      <c r="I53" s="4" t="s">
        <v>191</v>
      </c>
      <c r="J53" s="4" t="s">
        <v>196</v>
      </c>
      <c r="K53" s="4" t="s">
        <v>51</v>
      </c>
      <c r="L53" s="4" t="s">
        <v>37</v>
      </c>
      <c r="M53" s="4" t="s">
        <v>37</v>
      </c>
      <c r="N53" s="4" t="n">
        <v>2</v>
      </c>
      <c r="O53" s="4"/>
    </row>
    <row r="54" customFormat="false" ht="23.85" hidden="false" customHeight="false" outlineLevel="0" collapsed="false">
      <c r="A54" s="4" t="n">
        <v>4</v>
      </c>
      <c r="B54" s="4" t="s">
        <v>179</v>
      </c>
      <c r="C54" s="4" t="s">
        <v>180</v>
      </c>
      <c r="D54" s="4" t="s">
        <v>125</v>
      </c>
      <c r="E54" s="4" t="s">
        <v>62</v>
      </c>
      <c r="F54" s="4" t="s">
        <v>63</v>
      </c>
      <c r="G54" s="4" t="s">
        <v>31</v>
      </c>
      <c r="H54" s="4" t="s">
        <v>64</v>
      </c>
      <c r="I54" s="4" t="s">
        <v>191</v>
      </c>
      <c r="J54" s="4" t="s">
        <v>195</v>
      </c>
      <c r="K54" s="4" t="s">
        <v>51</v>
      </c>
      <c r="L54" s="4" t="s">
        <v>37</v>
      </c>
      <c r="M54" s="4" t="s">
        <v>37</v>
      </c>
      <c r="N54" s="4" t="n">
        <v>4</v>
      </c>
      <c r="O54" s="4"/>
    </row>
    <row r="55" customFormat="false" ht="15" hidden="false" customHeight="false" outlineLevel="0" collapsed="false">
      <c r="A55" s="4" t="n">
        <v>4</v>
      </c>
      <c r="B55" s="4" t="s">
        <v>179</v>
      </c>
      <c r="C55" s="4" t="s">
        <v>180</v>
      </c>
      <c r="D55" s="4" t="s">
        <v>125</v>
      </c>
      <c r="E55" s="4" t="s">
        <v>197</v>
      </c>
      <c r="F55" s="4" t="s">
        <v>198</v>
      </c>
      <c r="G55" s="4" t="s">
        <v>119</v>
      </c>
      <c r="H55" s="4" t="s">
        <v>153</v>
      </c>
      <c r="I55" s="4" t="s">
        <v>120</v>
      </c>
      <c r="J55" s="4" t="s">
        <v>199</v>
      </c>
      <c r="K55" s="4" t="s">
        <v>51</v>
      </c>
      <c r="L55" s="4" t="s">
        <v>36</v>
      </c>
      <c r="M55" s="4" t="s">
        <v>37</v>
      </c>
      <c r="N55" s="4" t="n">
        <v>1</v>
      </c>
      <c r="O55" s="4" t="s">
        <v>200</v>
      </c>
    </row>
    <row r="56" customFormat="false" ht="15" hidden="false" customHeight="false" outlineLevel="0" collapsed="false">
      <c r="A56" s="4" t="n">
        <v>5</v>
      </c>
      <c r="B56" s="4" t="s">
        <v>201</v>
      </c>
      <c r="C56" s="4" t="s">
        <v>202</v>
      </c>
      <c r="D56" s="4" t="s">
        <v>203</v>
      </c>
      <c r="E56" s="4" t="s">
        <v>204</v>
      </c>
      <c r="F56" s="4" t="s">
        <v>205</v>
      </c>
      <c r="G56" s="4" t="s">
        <v>55</v>
      </c>
      <c r="H56" s="4" t="s">
        <v>206</v>
      </c>
      <c r="I56" s="4" t="s">
        <v>93</v>
      </c>
      <c r="J56" s="4" t="s">
        <v>207</v>
      </c>
      <c r="K56" s="4" t="s">
        <v>102</v>
      </c>
      <c r="L56" s="4" t="s">
        <v>36</v>
      </c>
      <c r="M56" s="4" t="s">
        <v>37</v>
      </c>
      <c r="N56" s="4" t="n">
        <v>2</v>
      </c>
      <c r="O56" s="4" t="s">
        <v>208</v>
      </c>
    </row>
    <row r="57" customFormat="false" ht="15" hidden="false" customHeight="false" outlineLevel="0" collapsed="false">
      <c r="A57" s="4" t="n">
        <v>5</v>
      </c>
      <c r="B57" s="4" t="s">
        <v>201</v>
      </c>
      <c r="C57" s="4" t="s">
        <v>202</v>
      </c>
      <c r="D57" s="4" t="s">
        <v>203</v>
      </c>
      <c r="E57" s="4" t="s">
        <v>209</v>
      </c>
      <c r="F57" s="4" t="s">
        <v>210</v>
      </c>
      <c r="G57" s="4" t="s">
        <v>55</v>
      </c>
      <c r="H57" s="4" t="s">
        <v>211</v>
      </c>
      <c r="I57" s="4" t="s">
        <v>93</v>
      </c>
      <c r="J57" s="4" t="s">
        <v>212</v>
      </c>
      <c r="K57" s="4" t="s">
        <v>51</v>
      </c>
      <c r="L57" s="4" t="s">
        <v>36</v>
      </c>
      <c r="M57" s="4" t="s">
        <v>36</v>
      </c>
      <c r="N57" s="4" t="n">
        <v>3</v>
      </c>
      <c r="O57" s="4" t="s">
        <v>213</v>
      </c>
    </row>
    <row r="58" customFormat="false" ht="23.85" hidden="false" customHeight="false" outlineLevel="0" collapsed="false">
      <c r="A58" s="4" t="n">
        <v>5</v>
      </c>
      <c r="B58" s="4" t="s">
        <v>201</v>
      </c>
      <c r="C58" s="4" t="s">
        <v>202</v>
      </c>
      <c r="D58" s="4" t="s">
        <v>203</v>
      </c>
      <c r="E58" s="4" t="s">
        <v>214</v>
      </c>
      <c r="F58" s="4" t="s">
        <v>215</v>
      </c>
      <c r="G58" s="4" t="s">
        <v>55</v>
      </c>
      <c r="H58" s="4" t="s">
        <v>216</v>
      </c>
      <c r="I58" s="4" t="s">
        <v>93</v>
      </c>
      <c r="J58" s="4" t="s">
        <v>217</v>
      </c>
      <c r="K58" s="4" t="s">
        <v>51</v>
      </c>
      <c r="L58" s="4" t="s">
        <v>36</v>
      </c>
      <c r="M58" s="4" t="s">
        <v>37</v>
      </c>
      <c r="N58" s="4" t="n">
        <v>2</v>
      </c>
      <c r="O58" s="4" t="s">
        <v>218</v>
      </c>
    </row>
    <row r="59" customFormat="false" ht="15" hidden="false" customHeight="false" outlineLevel="0" collapsed="false">
      <c r="A59" s="4" t="n">
        <v>5</v>
      </c>
      <c r="B59" s="4" t="s">
        <v>201</v>
      </c>
      <c r="C59" s="4" t="s">
        <v>202</v>
      </c>
      <c r="D59" s="4" t="s">
        <v>203</v>
      </c>
      <c r="E59" s="4" t="s">
        <v>219</v>
      </c>
      <c r="F59" s="4" t="s">
        <v>220</v>
      </c>
      <c r="G59" s="4" t="s">
        <v>55</v>
      </c>
      <c r="H59" s="4" t="s">
        <v>221</v>
      </c>
      <c r="I59" s="4" t="s">
        <v>93</v>
      </c>
      <c r="J59" s="4" t="s">
        <v>222</v>
      </c>
      <c r="K59" s="4" t="s">
        <v>102</v>
      </c>
      <c r="L59" s="4" t="s">
        <v>36</v>
      </c>
      <c r="M59" s="4" t="s">
        <v>37</v>
      </c>
      <c r="N59" s="4" t="n">
        <v>1</v>
      </c>
      <c r="O59" s="4" t="s">
        <v>223</v>
      </c>
    </row>
    <row r="60" customFormat="false" ht="23.85" hidden="false" customHeight="false" outlineLevel="0" collapsed="false">
      <c r="A60" s="4" t="n">
        <v>5</v>
      </c>
      <c r="B60" s="4" t="s">
        <v>201</v>
      </c>
      <c r="C60" s="4" t="s">
        <v>202</v>
      </c>
      <c r="D60" s="4" t="s">
        <v>203</v>
      </c>
      <c r="E60" s="4" t="s">
        <v>224</v>
      </c>
      <c r="F60" s="4" t="s">
        <v>225</v>
      </c>
      <c r="G60" s="4" t="s">
        <v>55</v>
      </c>
      <c r="H60" s="4" t="s">
        <v>226</v>
      </c>
      <c r="I60" s="4" t="s">
        <v>149</v>
      </c>
      <c r="J60" s="4" t="s">
        <v>227</v>
      </c>
      <c r="K60" s="4" t="s">
        <v>51</v>
      </c>
      <c r="L60" s="4" t="s">
        <v>36</v>
      </c>
      <c r="M60" s="4" t="s">
        <v>36</v>
      </c>
      <c r="N60" s="4" t="n">
        <v>2</v>
      </c>
      <c r="O60" s="4" t="s">
        <v>228</v>
      </c>
    </row>
    <row r="61" customFormat="false" ht="15" hidden="false" customHeight="false" outlineLevel="0" collapsed="false">
      <c r="A61" s="4" t="n">
        <v>5</v>
      </c>
      <c r="B61" s="4" t="s">
        <v>201</v>
      </c>
      <c r="C61" s="4" t="s">
        <v>202</v>
      </c>
      <c r="D61" s="4" t="s">
        <v>203</v>
      </c>
      <c r="E61" s="4" t="s">
        <v>229</v>
      </c>
      <c r="F61" s="4" t="s">
        <v>230</v>
      </c>
      <c r="G61" s="4" t="s">
        <v>55</v>
      </c>
      <c r="H61" s="4" t="s">
        <v>231</v>
      </c>
      <c r="I61" s="4" t="s">
        <v>149</v>
      </c>
      <c r="J61" s="4" t="s">
        <v>232</v>
      </c>
      <c r="K61" s="4" t="s">
        <v>51</v>
      </c>
      <c r="L61" s="4" t="s">
        <v>36</v>
      </c>
      <c r="M61" s="4" t="s">
        <v>37</v>
      </c>
      <c r="N61" s="4" t="n">
        <v>4</v>
      </c>
      <c r="O61" s="4"/>
    </row>
    <row r="62" customFormat="false" ht="15" hidden="false" customHeight="false" outlineLevel="0" collapsed="false">
      <c r="A62" s="4" t="n">
        <v>5</v>
      </c>
      <c r="B62" s="4" t="s">
        <v>201</v>
      </c>
      <c r="C62" s="4" t="s">
        <v>202</v>
      </c>
      <c r="D62" s="4" t="s">
        <v>203</v>
      </c>
      <c r="E62" s="4" t="s">
        <v>233</v>
      </c>
      <c r="F62" s="4" t="s">
        <v>234</v>
      </c>
      <c r="G62" s="4" t="s">
        <v>55</v>
      </c>
      <c r="H62" s="4" t="s">
        <v>235</v>
      </c>
      <c r="I62" s="4" t="s">
        <v>149</v>
      </c>
      <c r="J62" s="4" t="s">
        <v>236</v>
      </c>
      <c r="K62" s="4" t="s">
        <v>51</v>
      </c>
      <c r="L62" s="4" t="s">
        <v>36</v>
      </c>
      <c r="M62" s="4" t="s">
        <v>37</v>
      </c>
      <c r="N62" s="4" t="n">
        <v>2</v>
      </c>
      <c r="O62" s="4"/>
    </row>
    <row r="63" customFormat="false" ht="15" hidden="false" customHeight="false" outlineLevel="0" collapsed="false">
      <c r="A63" s="4" t="n">
        <v>5</v>
      </c>
      <c r="B63" s="4" t="s">
        <v>201</v>
      </c>
      <c r="C63" s="4" t="s">
        <v>202</v>
      </c>
      <c r="D63" s="4" t="s">
        <v>203</v>
      </c>
      <c r="E63" s="4" t="s">
        <v>237</v>
      </c>
      <c r="F63" s="4" t="s">
        <v>238</v>
      </c>
      <c r="G63" s="4" t="s">
        <v>55</v>
      </c>
      <c r="H63" s="4" t="s">
        <v>41</v>
      </c>
      <c r="I63" s="4" t="s">
        <v>149</v>
      </c>
      <c r="J63" s="4" t="s">
        <v>239</v>
      </c>
      <c r="K63" s="4" t="s">
        <v>102</v>
      </c>
      <c r="L63" s="4" t="s">
        <v>36</v>
      </c>
      <c r="M63" s="4" t="s">
        <v>36</v>
      </c>
      <c r="N63" s="4" t="n">
        <v>1</v>
      </c>
      <c r="O63" s="4" t="s">
        <v>240</v>
      </c>
    </row>
    <row r="64" customFormat="false" ht="15" hidden="false" customHeight="false" outlineLevel="0" collapsed="false">
      <c r="A64" s="4" t="n">
        <v>5</v>
      </c>
      <c r="B64" s="4" t="s">
        <v>201</v>
      </c>
      <c r="C64" s="4" t="s">
        <v>202</v>
      </c>
      <c r="D64" s="4" t="s">
        <v>203</v>
      </c>
      <c r="E64" s="4" t="s">
        <v>241</v>
      </c>
      <c r="F64" s="4" t="s">
        <v>242</v>
      </c>
      <c r="G64" s="4" t="s">
        <v>119</v>
      </c>
      <c r="H64" s="4" t="s">
        <v>243</v>
      </c>
      <c r="I64" s="4" t="s">
        <v>120</v>
      </c>
      <c r="J64" s="4" t="s">
        <v>244</v>
      </c>
      <c r="K64" s="4" t="s">
        <v>51</v>
      </c>
      <c r="L64" s="4" t="s">
        <v>36</v>
      </c>
      <c r="M64" s="4" t="s">
        <v>37</v>
      </c>
      <c r="N64" s="4" t="n">
        <v>2</v>
      </c>
      <c r="O64" s="4" t="s">
        <v>245</v>
      </c>
    </row>
    <row r="65" customFormat="false" ht="15" hidden="false" customHeight="false" outlineLevel="0" collapsed="false">
      <c r="A65" s="4" t="n">
        <v>5</v>
      </c>
      <c r="B65" s="4" t="s">
        <v>201</v>
      </c>
      <c r="C65" s="4" t="s">
        <v>202</v>
      </c>
      <c r="D65" s="4" t="s">
        <v>203</v>
      </c>
      <c r="E65" s="4" t="s">
        <v>246</v>
      </c>
      <c r="F65" s="4" t="s">
        <v>247</v>
      </c>
      <c r="G65" s="4" t="s">
        <v>55</v>
      </c>
      <c r="H65" s="4" t="s">
        <v>248</v>
      </c>
      <c r="I65" s="4" t="s">
        <v>120</v>
      </c>
      <c r="J65" s="4" t="s">
        <v>249</v>
      </c>
      <c r="K65" s="4" t="s">
        <v>51</v>
      </c>
      <c r="L65" s="4" t="s">
        <v>36</v>
      </c>
      <c r="M65" s="4" t="s">
        <v>37</v>
      </c>
      <c r="N65" s="4" t="n">
        <v>2</v>
      </c>
      <c r="O65" s="4"/>
    </row>
    <row r="66" customFormat="false" ht="15" hidden="false" customHeight="false" outlineLevel="0" collapsed="false">
      <c r="A66" s="4" t="n">
        <v>5</v>
      </c>
      <c r="B66" s="4" t="s">
        <v>201</v>
      </c>
      <c r="C66" s="4" t="s">
        <v>202</v>
      </c>
      <c r="D66" s="4" t="s">
        <v>203</v>
      </c>
      <c r="E66" s="4" t="s">
        <v>250</v>
      </c>
      <c r="F66" s="4" t="s">
        <v>251</v>
      </c>
      <c r="G66" s="4" t="s">
        <v>176</v>
      </c>
      <c r="H66" s="4" t="s">
        <v>252</v>
      </c>
      <c r="I66" s="4" t="s">
        <v>120</v>
      </c>
      <c r="J66" s="4" t="s">
        <v>249</v>
      </c>
      <c r="K66" s="4" t="s">
        <v>102</v>
      </c>
      <c r="L66" s="4" t="s">
        <v>36</v>
      </c>
      <c r="M66" s="4" t="s">
        <v>37</v>
      </c>
      <c r="N66" s="4" t="n">
        <v>1</v>
      </c>
      <c r="O66" s="4" t="s">
        <v>253</v>
      </c>
    </row>
    <row r="67" customFormat="false" ht="15" hidden="false" customHeight="false" outlineLevel="0" collapsed="false">
      <c r="A67" s="4" t="n">
        <v>6</v>
      </c>
      <c r="B67" s="4" t="s">
        <v>254</v>
      </c>
      <c r="C67" s="4" t="s">
        <v>255</v>
      </c>
      <c r="D67" s="4" t="s">
        <v>256</v>
      </c>
      <c r="E67" s="4" t="s">
        <v>257</v>
      </c>
      <c r="F67" s="4" t="s">
        <v>258</v>
      </c>
      <c r="G67" s="4" t="s">
        <v>114</v>
      </c>
      <c r="H67" s="4" t="s">
        <v>259</v>
      </c>
      <c r="I67" s="4" t="s">
        <v>184</v>
      </c>
      <c r="J67" s="4" t="s">
        <v>260</v>
      </c>
      <c r="K67" s="4" t="s">
        <v>102</v>
      </c>
      <c r="L67" s="4" t="s">
        <v>36</v>
      </c>
      <c r="M67" s="4" t="s">
        <v>37</v>
      </c>
      <c r="N67" s="4" t="n">
        <v>1</v>
      </c>
      <c r="O67" s="4" t="s">
        <v>261</v>
      </c>
    </row>
    <row r="68" customFormat="false" ht="15" hidden="false" customHeight="false" outlineLevel="0" collapsed="false">
      <c r="A68" s="4" t="n">
        <v>6</v>
      </c>
      <c r="B68" s="4" t="s">
        <v>254</v>
      </c>
      <c r="C68" s="4" t="s">
        <v>255</v>
      </c>
      <c r="D68" s="4" t="s">
        <v>256</v>
      </c>
      <c r="E68" s="4" t="s">
        <v>262</v>
      </c>
      <c r="F68" s="4" t="s">
        <v>263</v>
      </c>
      <c r="G68" s="4" t="s">
        <v>55</v>
      </c>
      <c r="H68" s="4" t="s">
        <v>206</v>
      </c>
      <c r="I68" s="4" t="s">
        <v>184</v>
      </c>
      <c r="J68" s="4" t="s">
        <v>264</v>
      </c>
      <c r="K68" s="4" t="s">
        <v>51</v>
      </c>
      <c r="L68" s="4" t="s">
        <v>36</v>
      </c>
      <c r="M68" s="4" t="s">
        <v>37</v>
      </c>
      <c r="N68" s="4" t="n">
        <v>1</v>
      </c>
      <c r="O68" s="4" t="s">
        <v>265</v>
      </c>
    </row>
    <row r="69" customFormat="false" ht="15" hidden="false" customHeight="false" outlineLevel="0" collapsed="false">
      <c r="A69" s="4" t="n">
        <v>6</v>
      </c>
      <c r="B69" s="4" t="s">
        <v>254</v>
      </c>
      <c r="C69" s="4" t="s">
        <v>255</v>
      </c>
      <c r="D69" s="4" t="s">
        <v>256</v>
      </c>
      <c r="E69" s="4" t="s">
        <v>266</v>
      </c>
      <c r="F69" s="4" t="s">
        <v>267</v>
      </c>
      <c r="G69" s="4" t="s">
        <v>55</v>
      </c>
      <c r="H69" s="4" t="s">
        <v>206</v>
      </c>
      <c r="I69" s="4" t="s">
        <v>149</v>
      </c>
      <c r="J69" s="4" t="s">
        <v>264</v>
      </c>
      <c r="K69" s="4" t="s">
        <v>51</v>
      </c>
      <c r="L69" s="4" t="s">
        <v>36</v>
      </c>
      <c r="M69" s="4" t="s">
        <v>37</v>
      </c>
      <c r="N69" s="4" t="n">
        <v>1</v>
      </c>
      <c r="O69" s="4"/>
    </row>
    <row r="70" customFormat="false" ht="15" hidden="false" customHeight="false" outlineLevel="0" collapsed="false">
      <c r="A70" s="4" t="n">
        <v>6</v>
      </c>
      <c r="B70" s="4" t="s">
        <v>254</v>
      </c>
      <c r="C70" s="4" t="s">
        <v>255</v>
      </c>
      <c r="D70" s="4" t="s">
        <v>256</v>
      </c>
      <c r="E70" s="4" t="s">
        <v>268</v>
      </c>
      <c r="F70" s="4" t="s">
        <v>269</v>
      </c>
      <c r="G70" s="4" t="s">
        <v>31</v>
      </c>
      <c r="H70" s="4" t="s">
        <v>41</v>
      </c>
      <c r="I70" s="4" t="s">
        <v>149</v>
      </c>
      <c r="J70" s="4" t="s">
        <v>270</v>
      </c>
      <c r="K70" s="4" t="s">
        <v>51</v>
      </c>
      <c r="L70" s="4" t="s">
        <v>36</v>
      </c>
      <c r="M70" s="4" t="s">
        <v>37</v>
      </c>
      <c r="N70" s="4" t="n">
        <v>2</v>
      </c>
      <c r="O70" s="4"/>
    </row>
    <row r="71" customFormat="false" ht="23.85" hidden="false" customHeight="false" outlineLevel="0" collapsed="false">
      <c r="A71" s="4" t="n">
        <v>6</v>
      </c>
      <c r="B71" s="4" t="s">
        <v>254</v>
      </c>
      <c r="C71" s="4" t="s">
        <v>255</v>
      </c>
      <c r="D71" s="4" t="s">
        <v>256</v>
      </c>
      <c r="E71" s="4" t="s">
        <v>271</v>
      </c>
      <c r="F71" s="4" t="s">
        <v>272</v>
      </c>
      <c r="G71" s="4" t="s">
        <v>119</v>
      </c>
      <c r="H71" s="4" t="s">
        <v>32</v>
      </c>
      <c r="I71" s="4" t="s">
        <v>120</v>
      </c>
      <c r="J71" s="4" t="s">
        <v>273</v>
      </c>
      <c r="K71" s="4" t="s">
        <v>51</v>
      </c>
      <c r="L71" s="4" t="s">
        <v>36</v>
      </c>
      <c r="M71" s="4" t="s">
        <v>37</v>
      </c>
      <c r="N71" s="4" t="n">
        <v>1</v>
      </c>
      <c r="O71" s="4" t="s">
        <v>274</v>
      </c>
    </row>
    <row r="72" customFormat="false" ht="23.85" hidden="false" customHeight="false" outlineLevel="0" collapsed="false">
      <c r="A72" s="4" t="n">
        <v>6</v>
      </c>
      <c r="B72" s="4" t="s">
        <v>254</v>
      </c>
      <c r="C72" s="4" t="s">
        <v>255</v>
      </c>
      <c r="D72" s="4" t="s">
        <v>256</v>
      </c>
      <c r="E72" s="4" t="s">
        <v>39</v>
      </c>
      <c r="F72" s="4" t="s">
        <v>40</v>
      </c>
      <c r="G72" s="4" t="s">
        <v>31</v>
      </c>
      <c r="H72" s="4" t="s">
        <v>41</v>
      </c>
      <c r="I72" s="4" t="s">
        <v>191</v>
      </c>
      <c r="J72" s="4" t="s">
        <v>275</v>
      </c>
      <c r="K72" s="4" t="s">
        <v>51</v>
      </c>
      <c r="L72" s="4" t="s">
        <v>37</v>
      </c>
      <c r="M72" s="4" t="s">
        <v>37</v>
      </c>
      <c r="N72" s="4" t="n">
        <v>3</v>
      </c>
      <c r="O72" s="4"/>
    </row>
    <row r="73" customFormat="false" ht="23.85" hidden="false" customHeight="false" outlineLevel="0" collapsed="false">
      <c r="A73" s="4" t="n">
        <v>6</v>
      </c>
      <c r="B73" s="4" t="s">
        <v>254</v>
      </c>
      <c r="C73" s="4" t="s">
        <v>255</v>
      </c>
      <c r="D73" s="4" t="s">
        <v>256</v>
      </c>
      <c r="E73" s="4" t="s">
        <v>276</v>
      </c>
      <c r="F73" s="4" t="s">
        <v>277</v>
      </c>
      <c r="G73" s="4" t="s">
        <v>31</v>
      </c>
      <c r="H73" s="4" t="s">
        <v>41</v>
      </c>
      <c r="I73" s="4" t="s">
        <v>191</v>
      </c>
      <c r="J73" s="4" t="s">
        <v>278</v>
      </c>
      <c r="K73" s="4" t="s">
        <v>51</v>
      </c>
      <c r="L73" s="4" t="s">
        <v>36</v>
      </c>
      <c r="M73" s="4" t="s">
        <v>37</v>
      </c>
      <c r="N73" s="4" t="n">
        <v>1</v>
      </c>
      <c r="O73" s="4"/>
    </row>
    <row r="74" customFormat="false" ht="35.05" hidden="false" customHeight="false" outlineLevel="0" collapsed="false">
      <c r="A74" s="4" t="n">
        <v>6</v>
      </c>
      <c r="B74" s="4" t="s">
        <v>254</v>
      </c>
      <c r="C74" s="4" t="s">
        <v>255</v>
      </c>
      <c r="D74" s="4" t="s">
        <v>256</v>
      </c>
      <c r="E74" s="4" t="s">
        <v>48</v>
      </c>
      <c r="F74" s="4" t="s">
        <v>49</v>
      </c>
      <c r="G74" s="4" t="s">
        <v>31</v>
      </c>
      <c r="H74" s="4" t="s">
        <v>41</v>
      </c>
      <c r="I74" s="4" t="s">
        <v>191</v>
      </c>
      <c r="J74" s="4" t="s">
        <v>279</v>
      </c>
      <c r="K74" s="4" t="s">
        <v>280</v>
      </c>
      <c r="L74" s="4" t="s">
        <v>37</v>
      </c>
      <c r="M74" s="4" t="s">
        <v>37</v>
      </c>
      <c r="N74" s="4" t="n">
        <v>3</v>
      </c>
      <c r="O74" s="4"/>
    </row>
    <row r="75" customFormat="false" ht="23.85" hidden="false" customHeight="false" outlineLevel="0" collapsed="false">
      <c r="A75" s="4" t="n">
        <v>6</v>
      </c>
      <c r="B75" s="4" t="s">
        <v>254</v>
      </c>
      <c r="C75" s="4" t="s">
        <v>255</v>
      </c>
      <c r="D75" s="4" t="s">
        <v>256</v>
      </c>
      <c r="E75" s="4" t="s">
        <v>53</v>
      </c>
      <c r="F75" s="4" t="s">
        <v>54</v>
      </c>
      <c r="G75" s="4" t="s">
        <v>55</v>
      </c>
      <c r="H75" s="4" t="s">
        <v>41</v>
      </c>
      <c r="I75" s="4" t="s">
        <v>191</v>
      </c>
      <c r="J75" s="4" t="s">
        <v>281</v>
      </c>
      <c r="K75" s="4" t="s">
        <v>57</v>
      </c>
      <c r="L75" s="4" t="s">
        <v>37</v>
      </c>
      <c r="M75" s="4" t="s">
        <v>37</v>
      </c>
      <c r="N75" s="4" t="n">
        <v>4</v>
      </c>
      <c r="O75" s="4"/>
    </row>
    <row r="76" customFormat="false" ht="23.85" hidden="false" customHeight="false" outlineLevel="0" collapsed="false">
      <c r="A76" s="4" t="n">
        <v>6</v>
      </c>
      <c r="B76" s="4" t="s">
        <v>254</v>
      </c>
      <c r="C76" s="4" t="s">
        <v>255</v>
      </c>
      <c r="D76" s="4" t="s">
        <v>256</v>
      </c>
      <c r="E76" s="4" t="s">
        <v>204</v>
      </c>
      <c r="F76" s="4" t="s">
        <v>205</v>
      </c>
      <c r="G76" s="4" t="s">
        <v>55</v>
      </c>
      <c r="H76" s="4" t="s">
        <v>206</v>
      </c>
      <c r="I76" s="4" t="s">
        <v>191</v>
      </c>
      <c r="J76" s="4" t="s">
        <v>264</v>
      </c>
      <c r="K76" s="4" t="s">
        <v>102</v>
      </c>
      <c r="L76" s="4" t="s">
        <v>37</v>
      </c>
      <c r="M76" s="4" t="s">
        <v>37</v>
      </c>
      <c r="N76" s="4" t="n">
        <v>2</v>
      </c>
      <c r="O76" s="4"/>
    </row>
    <row r="77" customFormat="false" ht="15" hidden="false" customHeight="false" outlineLevel="0" collapsed="false">
      <c r="A77" s="4" t="n">
        <v>7</v>
      </c>
      <c r="B77" s="4" t="s">
        <v>254</v>
      </c>
      <c r="C77" s="4" t="s">
        <v>282</v>
      </c>
      <c r="D77" s="4" t="s">
        <v>283</v>
      </c>
      <c r="E77" s="4" t="s">
        <v>284</v>
      </c>
      <c r="F77" s="4" t="s">
        <v>285</v>
      </c>
      <c r="G77" s="4" t="s">
        <v>119</v>
      </c>
      <c r="H77" s="4" t="s">
        <v>286</v>
      </c>
      <c r="I77" s="4" t="s">
        <v>184</v>
      </c>
      <c r="J77" s="4" t="s">
        <v>287</v>
      </c>
      <c r="K77" s="4" t="s">
        <v>51</v>
      </c>
      <c r="L77" s="4" t="s">
        <v>36</v>
      </c>
      <c r="M77" s="4" t="s">
        <v>37</v>
      </c>
      <c r="N77" s="4" t="n">
        <v>1</v>
      </c>
      <c r="O77" s="4" t="s">
        <v>288</v>
      </c>
    </row>
    <row r="78" customFormat="false" ht="23.85" hidden="false" customHeight="false" outlineLevel="0" collapsed="false">
      <c r="A78" s="4" t="n">
        <v>7</v>
      </c>
      <c r="B78" s="4" t="s">
        <v>254</v>
      </c>
      <c r="C78" s="4" t="s">
        <v>282</v>
      </c>
      <c r="D78" s="4" t="s">
        <v>283</v>
      </c>
      <c r="E78" s="4" t="s">
        <v>289</v>
      </c>
      <c r="F78" s="4" t="s">
        <v>290</v>
      </c>
      <c r="G78" s="4" t="s">
        <v>114</v>
      </c>
      <c r="H78" s="4" t="s">
        <v>291</v>
      </c>
      <c r="I78" s="4" t="s">
        <v>184</v>
      </c>
      <c r="J78" s="4" t="s">
        <v>292</v>
      </c>
      <c r="K78" s="4" t="s">
        <v>102</v>
      </c>
      <c r="L78" s="4" t="s">
        <v>36</v>
      </c>
      <c r="M78" s="4" t="s">
        <v>37</v>
      </c>
      <c r="N78" s="4" t="n">
        <v>1</v>
      </c>
      <c r="O78" s="4" t="s">
        <v>293</v>
      </c>
    </row>
    <row r="79" customFormat="false" ht="23.85" hidden="false" customHeight="false" outlineLevel="0" collapsed="false">
      <c r="A79" s="4" t="n">
        <v>7</v>
      </c>
      <c r="B79" s="4" t="s">
        <v>254</v>
      </c>
      <c r="C79" s="4" t="s">
        <v>282</v>
      </c>
      <c r="D79" s="4" t="s">
        <v>283</v>
      </c>
      <c r="E79" s="4" t="s">
        <v>294</v>
      </c>
      <c r="F79" s="4" t="s">
        <v>295</v>
      </c>
      <c r="G79" s="4" t="s">
        <v>55</v>
      </c>
      <c r="H79" s="4" t="s">
        <v>296</v>
      </c>
      <c r="I79" s="4" t="s">
        <v>149</v>
      </c>
      <c r="J79" s="4" t="s">
        <v>292</v>
      </c>
      <c r="K79" s="4" t="s">
        <v>102</v>
      </c>
      <c r="L79" s="4" t="s">
        <v>36</v>
      </c>
      <c r="M79" s="4" t="s">
        <v>37</v>
      </c>
      <c r="N79" s="4" t="n">
        <v>3</v>
      </c>
      <c r="O79" s="4" t="s">
        <v>297</v>
      </c>
    </row>
    <row r="80" customFormat="false" ht="23.85" hidden="false" customHeight="false" outlineLevel="0" collapsed="false">
      <c r="A80" s="4" t="n">
        <v>7</v>
      </c>
      <c r="B80" s="4" t="s">
        <v>254</v>
      </c>
      <c r="C80" s="4" t="s">
        <v>282</v>
      </c>
      <c r="D80" s="4" t="s">
        <v>283</v>
      </c>
      <c r="E80" s="4" t="s">
        <v>112</v>
      </c>
      <c r="F80" s="4" t="s">
        <v>113</v>
      </c>
      <c r="G80" s="4" t="s">
        <v>114</v>
      </c>
      <c r="H80" s="4" t="s">
        <v>115</v>
      </c>
      <c r="I80" s="4" t="s">
        <v>191</v>
      </c>
      <c r="J80" s="4" t="s">
        <v>298</v>
      </c>
      <c r="K80" s="4" t="s">
        <v>102</v>
      </c>
      <c r="L80" s="4" t="s">
        <v>37</v>
      </c>
      <c r="M80" s="4" t="s">
        <v>37</v>
      </c>
      <c r="N80" s="4" t="n">
        <v>3</v>
      </c>
      <c r="O80" s="4" t="s">
        <v>299</v>
      </c>
    </row>
    <row r="81" customFormat="false" ht="23.85" hidden="false" customHeight="false" outlineLevel="0" collapsed="false">
      <c r="A81" s="4" t="n">
        <v>7</v>
      </c>
      <c r="B81" s="4" t="s">
        <v>254</v>
      </c>
      <c r="C81" s="4" t="s">
        <v>282</v>
      </c>
      <c r="D81" s="4" t="s">
        <v>283</v>
      </c>
      <c r="E81" s="4" t="s">
        <v>104</v>
      </c>
      <c r="F81" s="4" t="s">
        <v>105</v>
      </c>
      <c r="G81" s="4" t="s">
        <v>55</v>
      </c>
      <c r="H81" s="4" t="s">
        <v>106</v>
      </c>
      <c r="I81" s="4" t="s">
        <v>191</v>
      </c>
      <c r="J81" s="4" t="s">
        <v>300</v>
      </c>
      <c r="K81" s="4" t="s">
        <v>51</v>
      </c>
      <c r="L81" s="4" t="s">
        <v>37</v>
      </c>
      <c r="M81" s="4" t="s">
        <v>36</v>
      </c>
      <c r="N81" s="4" t="n">
        <v>3</v>
      </c>
      <c r="O81" s="4"/>
    </row>
    <row r="82" customFormat="false" ht="23.85" hidden="false" customHeight="false" outlineLevel="0" collapsed="false">
      <c r="A82" s="4" t="n">
        <v>7</v>
      </c>
      <c r="B82" s="4" t="s">
        <v>254</v>
      </c>
      <c r="C82" s="4" t="s">
        <v>282</v>
      </c>
      <c r="D82" s="4" t="s">
        <v>283</v>
      </c>
      <c r="E82" s="4" t="s">
        <v>229</v>
      </c>
      <c r="F82" s="4" t="s">
        <v>230</v>
      </c>
      <c r="G82" s="4" t="s">
        <v>55</v>
      </c>
      <c r="H82" s="4" t="s">
        <v>231</v>
      </c>
      <c r="I82" s="4" t="s">
        <v>191</v>
      </c>
      <c r="J82" s="4" t="s">
        <v>300</v>
      </c>
      <c r="K82" s="4" t="s">
        <v>51</v>
      </c>
      <c r="L82" s="4" t="s">
        <v>37</v>
      </c>
      <c r="M82" s="4" t="s">
        <v>37</v>
      </c>
      <c r="N82" s="4" t="n">
        <v>4</v>
      </c>
      <c r="O82" s="4"/>
    </row>
    <row r="83" customFormat="false" ht="23.85" hidden="false" customHeight="false" outlineLevel="0" collapsed="false">
      <c r="A83" s="4" t="n">
        <v>7</v>
      </c>
      <c r="B83" s="4" t="s">
        <v>254</v>
      </c>
      <c r="C83" s="4" t="s">
        <v>282</v>
      </c>
      <c r="D83" s="4" t="s">
        <v>283</v>
      </c>
      <c r="E83" s="4" t="s">
        <v>209</v>
      </c>
      <c r="F83" s="4" t="s">
        <v>210</v>
      </c>
      <c r="G83" s="4" t="s">
        <v>55</v>
      </c>
      <c r="H83" s="4" t="s">
        <v>211</v>
      </c>
      <c r="I83" s="4" t="s">
        <v>191</v>
      </c>
      <c r="J83" s="4" t="s">
        <v>301</v>
      </c>
      <c r="K83" s="4" t="s">
        <v>51</v>
      </c>
      <c r="L83" s="4" t="s">
        <v>37</v>
      </c>
      <c r="M83" s="4" t="s">
        <v>36</v>
      </c>
      <c r="N83" s="4" t="n">
        <v>3</v>
      </c>
      <c r="O83" s="4"/>
    </row>
    <row r="84" customFormat="false" ht="23.85" hidden="false" customHeight="false" outlineLevel="0" collapsed="false">
      <c r="A84" s="4" t="n">
        <v>7</v>
      </c>
      <c r="B84" s="4" t="s">
        <v>254</v>
      </c>
      <c r="C84" s="4" t="s">
        <v>282</v>
      </c>
      <c r="D84" s="4" t="s">
        <v>283</v>
      </c>
      <c r="E84" s="4" t="s">
        <v>224</v>
      </c>
      <c r="F84" s="4" t="s">
        <v>225</v>
      </c>
      <c r="G84" s="4" t="s">
        <v>55</v>
      </c>
      <c r="H84" s="4" t="s">
        <v>226</v>
      </c>
      <c r="I84" s="4" t="s">
        <v>191</v>
      </c>
      <c r="J84" s="4" t="s">
        <v>302</v>
      </c>
      <c r="K84" s="4" t="s">
        <v>51</v>
      </c>
      <c r="L84" s="4" t="s">
        <v>37</v>
      </c>
      <c r="M84" s="4" t="s">
        <v>36</v>
      </c>
      <c r="N84" s="4" t="n">
        <v>2</v>
      </c>
      <c r="O84" s="4"/>
    </row>
    <row r="85" customFormat="false" ht="23.85" hidden="false" customHeight="false" outlineLevel="0" collapsed="false">
      <c r="A85" s="4" t="n">
        <v>7</v>
      </c>
      <c r="B85" s="4" t="s">
        <v>254</v>
      </c>
      <c r="C85" s="4" t="s">
        <v>282</v>
      </c>
      <c r="D85" s="4" t="s">
        <v>283</v>
      </c>
      <c r="E85" s="4" t="s">
        <v>233</v>
      </c>
      <c r="F85" s="4" t="s">
        <v>234</v>
      </c>
      <c r="G85" s="4" t="s">
        <v>55</v>
      </c>
      <c r="H85" s="4" t="s">
        <v>235</v>
      </c>
      <c r="I85" s="4" t="s">
        <v>191</v>
      </c>
      <c r="J85" s="4" t="s">
        <v>303</v>
      </c>
      <c r="K85" s="4" t="s">
        <v>51</v>
      </c>
      <c r="L85" s="4" t="s">
        <v>37</v>
      </c>
      <c r="M85" s="4" t="s">
        <v>37</v>
      </c>
      <c r="N85" s="4" t="n">
        <v>2</v>
      </c>
      <c r="O85" s="4"/>
    </row>
    <row r="86" customFormat="false" ht="35.05" hidden="false" customHeight="false" outlineLevel="0" collapsed="false">
      <c r="A86" s="4" t="n">
        <v>8</v>
      </c>
      <c r="B86" s="4" t="s">
        <v>304</v>
      </c>
      <c r="C86" s="4" t="s">
        <v>305</v>
      </c>
      <c r="D86" s="4" t="s">
        <v>306</v>
      </c>
      <c r="E86" s="4" t="s">
        <v>307</v>
      </c>
      <c r="F86" s="4" t="s">
        <v>308</v>
      </c>
      <c r="G86" s="4" t="s">
        <v>55</v>
      </c>
      <c r="H86" s="4" t="s">
        <v>309</v>
      </c>
      <c r="I86" s="4" t="s">
        <v>93</v>
      </c>
      <c r="J86" s="4" t="s">
        <v>310</v>
      </c>
      <c r="K86" s="4" t="s">
        <v>311</v>
      </c>
      <c r="L86" s="4" t="s">
        <v>36</v>
      </c>
      <c r="M86" s="4" t="s">
        <v>37</v>
      </c>
      <c r="N86" s="4" t="n">
        <v>1</v>
      </c>
      <c r="O86" s="4" t="s">
        <v>312</v>
      </c>
    </row>
    <row r="87" customFormat="false" ht="15" hidden="false" customHeight="false" outlineLevel="0" collapsed="false">
      <c r="A87" s="4" t="n">
        <v>8</v>
      </c>
      <c r="B87" s="4" t="s">
        <v>304</v>
      </c>
      <c r="C87" s="4" t="s">
        <v>305</v>
      </c>
      <c r="D87" s="4" t="s">
        <v>306</v>
      </c>
      <c r="E87" s="4" t="s">
        <v>307</v>
      </c>
      <c r="F87" s="4" t="s">
        <v>313</v>
      </c>
      <c r="G87" s="4" t="s">
        <v>55</v>
      </c>
      <c r="H87" s="4" t="s">
        <v>314</v>
      </c>
      <c r="I87" s="4" t="s">
        <v>93</v>
      </c>
      <c r="J87" s="4" t="s">
        <v>315</v>
      </c>
      <c r="K87" s="4" t="s">
        <v>311</v>
      </c>
      <c r="L87" s="4" t="s">
        <v>36</v>
      </c>
      <c r="M87" s="4" t="s">
        <v>37</v>
      </c>
      <c r="N87" s="4" t="n">
        <v>1</v>
      </c>
      <c r="O87" s="4" t="s">
        <v>316</v>
      </c>
    </row>
    <row r="88" customFormat="false" ht="15" hidden="false" customHeight="false" outlineLevel="0" collapsed="false">
      <c r="A88" s="4" t="n">
        <v>8</v>
      </c>
      <c r="B88" s="4" t="s">
        <v>304</v>
      </c>
      <c r="C88" s="4" t="s">
        <v>305</v>
      </c>
      <c r="D88" s="4" t="s">
        <v>306</v>
      </c>
      <c r="E88" s="4" t="s">
        <v>317</v>
      </c>
      <c r="F88" s="4" t="s">
        <v>318</v>
      </c>
      <c r="G88" s="4" t="s">
        <v>55</v>
      </c>
      <c r="H88" s="4" t="s">
        <v>319</v>
      </c>
      <c r="I88" s="4" t="s">
        <v>93</v>
      </c>
      <c r="J88" s="4" t="s">
        <v>320</v>
      </c>
      <c r="K88" s="4" t="s">
        <v>51</v>
      </c>
      <c r="L88" s="4" t="s">
        <v>36</v>
      </c>
      <c r="M88" s="4" t="s">
        <v>37</v>
      </c>
      <c r="N88" s="4" t="n">
        <v>1</v>
      </c>
      <c r="O88" s="4" t="s">
        <v>321</v>
      </c>
    </row>
    <row r="89" customFormat="false" ht="23.85" hidden="false" customHeight="false" outlineLevel="0" collapsed="false">
      <c r="A89" s="4" t="n">
        <v>8</v>
      </c>
      <c r="B89" s="4" t="s">
        <v>304</v>
      </c>
      <c r="C89" s="4" t="s">
        <v>305</v>
      </c>
      <c r="D89" s="4" t="s">
        <v>306</v>
      </c>
      <c r="E89" s="4" t="s">
        <v>322</v>
      </c>
      <c r="F89" s="4" t="s">
        <v>323</v>
      </c>
      <c r="G89" s="4" t="s">
        <v>55</v>
      </c>
      <c r="H89" s="4" t="s">
        <v>324</v>
      </c>
      <c r="I89" s="4" t="s">
        <v>93</v>
      </c>
      <c r="J89" s="4" t="s">
        <v>325</v>
      </c>
      <c r="K89" s="4" t="s">
        <v>326</v>
      </c>
      <c r="L89" s="4" t="s">
        <v>36</v>
      </c>
      <c r="M89" s="4" t="s">
        <v>37</v>
      </c>
      <c r="N89" s="4" t="n">
        <v>2</v>
      </c>
      <c r="O89" s="4" t="s">
        <v>327</v>
      </c>
    </row>
    <row r="90" customFormat="false" ht="15" hidden="false" customHeight="false" outlineLevel="0" collapsed="false">
      <c r="A90" s="4" t="n">
        <v>8</v>
      </c>
      <c r="B90" s="4" t="s">
        <v>304</v>
      </c>
      <c r="C90" s="4" t="s">
        <v>305</v>
      </c>
      <c r="D90" s="4" t="s">
        <v>306</v>
      </c>
      <c r="E90" s="4" t="s">
        <v>328</v>
      </c>
      <c r="F90" s="4" t="s">
        <v>329</v>
      </c>
      <c r="G90" s="4" t="s">
        <v>119</v>
      </c>
      <c r="H90" s="4" t="s">
        <v>330</v>
      </c>
      <c r="I90" s="4" t="s">
        <v>93</v>
      </c>
      <c r="J90" s="4" t="s">
        <v>331</v>
      </c>
      <c r="K90" s="4" t="s">
        <v>51</v>
      </c>
      <c r="L90" s="4" t="s">
        <v>36</v>
      </c>
      <c r="M90" s="4" t="s">
        <v>37</v>
      </c>
      <c r="N90" s="4" t="n">
        <v>4</v>
      </c>
      <c r="O90" s="4" t="s">
        <v>332</v>
      </c>
    </row>
    <row r="91" customFormat="false" ht="15" hidden="false" customHeight="false" outlineLevel="0" collapsed="false">
      <c r="A91" s="4" t="n">
        <v>8</v>
      </c>
      <c r="B91" s="4" t="s">
        <v>304</v>
      </c>
      <c r="C91" s="4" t="s">
        <v>305</v>
      </c>
      <c r="D91" s="4" t="s">
        <v>306</v>
      </c>
      <c r="E91" s="4" t="s">
        <v>333</v>
      </c>
      <c r="F91" s="4" t="s">
        <v>334</v>
      </c>
      <c r="G91" s="4" t="s">
        <v>55</v>
      </c>
      <c r="H91" s="4" t="s">
        <v>335</v>
      </c>
      <c r="I91" s="4" t="s">
        <v>149</v>
      </c>
      <c r="J91" s="4" t="s">
        <v>336</v>
      </c>
      <c r="K91" s="4" t="s">
        <v>102</v>
      </c>
      <c r="L91" s="4" t="s">
        <v>36</v>
      </c>
      <c r="M91" s="4" t="s">
        <v>37</v>
      </c>
      <c r="N91" s="4" t="n">
        <v>2</v>
      </c>
      <c r="O91" s="4" t="s">
        <v>337</v>
      </c>
    </row>
    <row r="92" customFormat="false" ht="23.85" hidden="false" customHeight="false" outlineLevel="0" collapsed="false">
      <c r="A92" s="4" t="n">
        <v>8</v>
      </c>
      <c r="B92" s="4" t="s">
        <v>304</v>
      </c>
      <c r="C92" s="4" t="s">
        <v>305</v>
      </c>
      <c r="D92" s="4" t="s">
        <v>306</v>
      </c>
      <c r="E92" s="4" t="s">
        <v>229</v>
      </c>
      <c r="F92" s="4" t="s">
        <v>230</v>
      </c>
      <c r="G92" s="4" t="s">
        <v>55</v>
      </c>
      <c r="H92" s="4" t="s">
        <v>231</v>
      </c>
      <c r="I92" s="4" t="s">
        <v>191</v>
      </c>
      <c r="J92" s="4" t="s">
        <v>338</v>
      </c>
      <c r="K92" s="4" t="s">
        <v>51</v>
      </c>
      <c r="L92" s="4" t="s">
        <v>37</v>
      </c>
      <c r="M92" s="4" t="s">
        <v>37</v>
      </c>
      <c r="N92" s="4" t="n">
        <v>4</v>
      </c>
      <c r="O92" s="4"/>
    </row>
    <row r="93" customFormat="false" ht="23.85" hidden="false" customHeight="false" outlineLevel="0" collapsed="false">
      <c r="A93" s="4" t="n">
        <v>8</v>
      </c>
      <c r="B93" s="4" t="s">
        <v>304</v>
      </c>
      <c r="C93" s="4" t="s">
        <v>305</v>
      </c>
      <c r="D93" s="4" t="s">
        <v>306</v>
      </c>
      <c r="E93" s="4" t="s">
        <v>241</v>
      </c>
      <c r="F93" s="4" t="s">
        <v>242</v>
      </c>
      <c r="G93" s="4" t="s">
        <v>119</v>
      </c>
      <c r="H93" s="4" t="s">
        <v>243</v>
      </c>
      <c r="I93" s="4" t="s">
        <v>191</v>
      </c>
      <c r="J93" s="4" t="s">
        <v>339</v>
      </c>
      <c r="K93" s="4" t="s">
        <v>51</v>
      </c>
      <c r="L93" s="4" t="s">
        <v>37</v>
      </c>
      <c r="M93" s="4" t="s">
        <v>37</v>
      </c>
      <c r="N93" s="4" t="n">
        <v>2</v>
      </c>
      <c r="O93" s="4"/>
    </row>
    <row r="94" customFormat="false" ht="15" hidden="false" customHeight="false" outlineLevel="0" collapsed="false">
      <c r="A94" s="4" t="n">
        <v>8</v>
      </c>
      <c r="B94" s="4" t="s">
        <v>304</v>
      </c>
      <c r="C94" s="4" t="s">
        <v>305</v>
      </c>
      <c r="D94" s="4" t="s">
        <v>306</v>
      </c>
      <c r="E94" s="4" t="s">
        <v>340</v>
      </c>
      <c r="F94" s="4" t="s">
        <v>341</v>
      </c>
      <c r="G94" s="4" t="s">
        <v>31</v>
      </c>
      <c r="H94" s="4" t="s">
        <v>41</v>
      </c>
      <c r="I94" s="4" t="s">
        <v>33</v>
      </c>
      <c r="J94" s="4" t="s">
        <v>342</v>
      </c>
      <c r="K94" s="4" t="s">
        <v>51</v>
      </c>
      <c r="L94" s="4" t="s">
        <v>36</v>
      </c>
      <c r="M94" s="4" t="s">
        <v>37</v>
      </c>
      <c r="N94" s="4" t="n">
        <v>1</v>
      </c>
      <c r="O94" s="4"/>
    </row>
    <row r="95" customFormat="false" ht="15" hidden="false" customHeight="false" outlineLevel="0" collapsed="false">
      <c r="A95" s="4" t="n">
        <v>8</v>
      </c>
      <c r="B95" s="4" t="s">
        <v>304</v>
      </c>
      <c r="C95" s="4" t="s">
        <v>305</v>
      </c>
      <c r="D95" s="4" t="s">
        <v>306</v>
      </c>
      <c r="E95" s="4" t="s">
        <v>58</v>
      </c>
      <c r="F95" s="4" t="s">
        <v>59</v>
      </c>
      <c r="G95" s="4" t="s">
        <v>31</v>
      </c>
      <c r="H95" s="4" t="s">
        <v>41</v>
      </c>
      <c r="I95" s="4" t="s">
        <v>33</v>
      </c>
      <c r="J95" s="4" t="s">
        <v>343</v>
      </c>
      <c r="K95" s="4" t="s">
        <v>51</v>
      </c>
      <c r="L95" s="4" t="s">
        <v>37</v>
      </c>
      <c r="M95" s="4" t="s">
        <v>37</v>
      </c>
      <c r="N95" s="4" t="n">
        <v>3</v>
      </c>
      <c r="O95" s="4"/>
    </row>
    <row r="96" customFormat="false" ht="15" hidden="false" customHeight="false" outlineLevel="0" collapsed="false">
      <c r="A96" s="4" t="n">
        <v>8</v>
      </c>
      <c r="B96" s="4" t="s">
        <v>304</v>
      </c>
      <c r="C96" s="4" t="s">
        <v>305</v>
      </c>
      <c r="D96" s="4" t="s">
        <v>306</v>
      </c>
      <c r="E96" s="4" t="s">
        <v>344</v>
      </c>
      <c r="F96" s="4" t="s">
        <v>345</v>
      </c>
      <c r="G96" s="4" t="s">
        <v>119</v>
      </c>
      <c r="H96" s="4" t="s">
        <v>346</v>
      </c>
      <c r="I96" s="4" t="s">
        <v>120</v>
      </c>
      <c r="J96" s="4" t="s">
        <v>347</v>
      </c>
      <c r="K96" s="4" t="s">
        <v>102</v>
      </c>
      <c r="L96" s="4" t="s">
        <v>36</v>
      </c>
      <c r="M96" s="4" t="s">
        <v>37</v>
      </c>
      <c r="N96" s="4" t="n">
        <v>1</v>
      </c>
      <c r="O96" s="4" t="s">
        <v>348</v>
      </c>
    </row>
    <row r="97" customFormat="false" ht="35.05" hidden="false" customHeight="false" outlineLevel="0" collapsed="false">
      <c r="A97" s="4" t="n">
        <v>8</v>
      </c>
      <c r="B97" s="4" t="s">
        <v>304</v>
      </c>
      <c r="C97" s="4" t="s">
        <v>305</v>
      </c>
      <c r="D97" s="4" t="s">
        <v>306</v>
      </c>
      <c r="E97" s="4" t="s">
        <v>307</v>
      </c>
      <c r="F97" s="4" t="s">
        <v>349</v>
      </c>
      <c r="G97" s="4" t="s">
        <v>119</v>
      </c>
      <c r="H97" s="4" t="s">
        <v>350</v>
      </c>
      <c r="I97" s="4" t="s">
        <v>120</v>
      </c>
      <c r="J97" s="4" t="s">
        <v>351</v>
      </c>
      <c r="K97" s="4" t="s">
        <v>311</v>
      </c>
      <c r="L97" s="4" t="s">
        <v>36</v>
      </c>
      <c r="M97" s="4" t="s">
        <v>37</v>
      </c>
      <c r="N97" s="4" t="n">
        <v>1</v>
      </c>
      <c r="O97" s="4" t="s">
        <v>352</v>
      </c>
    </row>
    <row r="98" customFormat="false" ht="15" hidden="false" customHeight="false" outlineLevel="0" collapsed="false">
      <c r="A98" s="4" t="n">
        <v>8</v>
      </c>
      <c r="B98" s="4" t="s">
        <v>304</v>
      </c>
      <c r="C98" s="4" t="s">
        <v>305</v>
      </c>
      <c r="D98" s="4" t="s">
        <v>306</v>
      </c>
      <c r="E98" s="4" t="s">
        <v>353</v>
      </c>
      <c r="F98" s="4" t="s">
        <v>354</v>
      </c>
      <c r="G98" s="4" t="s">
        <v>119</v>
      </c>
      <c r="H98" s="4" t="s">
        <v>355</v>
      </c>
      <c r="I98" s="4" t="s">
        <v>120</v>
      </c>
      <c r="J98" s="4" t="s">
        <v>356</v>
      </c>
      <c r="K98" s="4" t="s">
        <v>51</v>
      </c>
      <c r="L98" s="4" t="s">
        <v>36</v>
      </c>
      <c r="M98" s="4" t="s">
        <v>37</v>
      </c>
      <c r="N98" s="4" t="n">
        <v>4</v>
      </c>
      <c r="O98" s="4"/>
    </row>
    <row r="99" customFormat="false" ht="15" hidden="false" customHeight="false" outlineLevel="0" collapsed="false">
      <c r="A99" s="4" t="n">
        <v>8</v>
      </c>
      <c r="B99" s="4" t="s">
        <v>304</v>
      </c>
      <c r="C99" s="4" t="s">
        <v>305</v>
      </c>
      <c r="D99" s="4" t="s">
        <v>306</v>
      </c>
      <c r="E99" s="4" t="s">
        <v>357</v>
      </c>
      <c r="F99" s="4" t="s">
        <v>358</v>
      </c>
      <c r="G99" s="4" t="s">
        <v>176</v>
      </c>
      <c r="H99" s="4" t="s">
        <v>346</v>
      </c>
      <c r="I99" s="4" t="s">
        <v>120</v>
      </c>
      <c r="J99" s="4" t="s">
        <v>356</v>
      </c>
      <c r="K99" s="4" t="s">
        <v>102</v>
      </c>
      <c r="L99" s="4" t="s">
        <v>36</v>
      </c>
      <c r="M99" s="4" t="s">
        <v>37</v>
      </c>
      <c r="N99" s="4" t="n">
        <v>1</v>
      </c>
      <c r="O99" s="4" t="s">
        <v>253</v>
      </c>
    </row>
    <row r="100" customFormat="false" ht="15" hidden="false" customHeight="false" outlineLevel="0" collapsed="false">
      <c r="A100" s="4" t="n">
        <v>9</v>
      </c>
      <c r="B100" s="4" t="s">
        <v>359</v>
      </c>
      <c r="C100" s="4" t="s">
        <v>360</v>
      </c>
      <c r="D100" s="4" t="s">
        <v>361</v>
      </c>
      <c r="E100" s="4" t="s">
        <v>362</v>
      </c>
      <c r="F100" s="4" t="s">
        <v>363</v>
      </c>
      <c r="G100" s="4" t="s">
        <v>55</v>
      </c>
      <c r="H100" s="4" t="s">
        <v>153</v>
      </c>
      <c r="I100" s="4" t="s">
        <v>93</v>
      </c>
      <c r="J100" s="4" t="s">
        <v>364</v>
      </c>
      <c r="K100" s="4" t="s">
        <v>51</v>
      </c>
      <c r="L100" s="4" t="s">
        <v>36</v>
      </c>
      <c r="M100" s="4" t="s">
        <v>37</v>
      </c>
      <c r="N100" s="4" t="n">
        <v>1</v>
      </c>
      <c r="O100" s="4" t="s">
        <v>365</v>
      </c>
    </row>
    <row r="101" customFormat="false" ht="35.05" hidden="false" customHeight="false" outlineLevel="0" collapsed="false">
      <c r="A101" s="4" t="n">
        <v>9</v>
      </c>
      <c r="B101" s="4" t="s">
        <v>359</v>
      </c>
      <c r="C101" s="4" t="s">
        <v>360</v>
      </c>
      <c r="D101" s="4" t="s">
        <v>361</v>
      </c>
      <c r="E101" s="4" t="s">
        <v>366</v>
      </c>
      <c r="F101" s="4" t="s">
        <v>367</v>
      </c>
      <c r="G101" s="4" t="s">
        <v>55</v>
      </c>
      <c r="H101" s="4" t="s">
        <v>368</v>
      </c>
      <c r="I101" s="4" t="s">
        <v>93</v>
      </c>
      <c r="J101" s="4" t="s">
        <v>369</v>
      </c>
      <c r="K101" s="4" t="s">
        <v>370</v>
      </c>
      <c r="L101" s="4" t="s">
        <v>36</v>
      </c>
      <c r="M101" s="4" t="s">
        <v>37</v>
      </c>
      <c r="N101" s="4" t="n">
        <v>1</v>
      </c>
      <c r="O101" s="4"/>
    </row>
    <row r="102" customFormat="false" ht="15" hidden="false" customHeight="false" outlineLevel="0" collapsed="false">
      <c r="A102" s="4" t="n">
        <v>9</v>
      </c>
      <c r="B102" s="4" t="s">
        <v>359</v>
      </c>
      <c r="C102" s="4" t="s">
        <v>360</v>
      </c>
      <c r="D102" s="4" t="s">
        <v>361</v>
      </c>
      <c r="E102" s="4" t="s">
        <v>371</v>
      </c>
      <c r="F102" s="4" t="s">
        <v>372</v>
      </c>
      <c r="G102" s="4" t="s">
        <v>114</v>
      </c>
      <c r="H102" s="4" t="s">
        <v>373</v>
      </c>
      <c r="I102" s="4" t="s">
        <v>93</v>
      </c>
      <c r="J102" s="4" t="s">
        <v>374</v>
      </c>
      <c r="K102" s="4" t="s">
        <v>102</v>
      </c>
      <c r="L102" s="4" t="s">
        <v>36</v>
      </c>
      <c r="M102" s="4" t="s">
        <v>37</v>
      </c>
      <c r="N102" s="4" t="n">
        <v>2</v>
      </c>
      <c r="O102" s="4" t="s">
        <v>375</v>
      </c>
    </row>
    <row r="103" customFormat="false" ht="15" hidden="false" customHeight="false" outlineLevel="0" collapsed="false">
      <c r="A103" s="4" t="n">
        <v>9</v>
      </c>
      <c r="B103" s="4" t="s">
        <v>359</v>
      </c>
      <c r="C103" s="4" t="s">
        <v>360</v>
      </c>
      <c r="D103" s="4" t="s">
        <v>361</v>
      </c>
      <c r="E103" s="4" t="s">
        <v>376</v>
      </c>
      <c r="F103" s="4" t="s">
        <v>377</v>
      </c>
      <c r="G103" s="4" t="s">
        <v>55</v>
      </c>
      <c r="H103" s="4" t="s">
        <v>41</v>
      </c>
      <c r="I103" s="4" t="s">
        <v>93</v>
      </c>
      <c r="J103" s="4" t="s">
        <v>378</v>
      </c>
      <c r="K103" s="4" t="s">
        <v>102</v>
      </c>
      <c r="L103" s="4" t="s">
        <v>36</v>
      </c>
      <c r="M103" s="4" t="s">
        <v>37</v>
      </c>
      <c r="N103" s="4" t="n">
        <v>1</v>
      </c>
      <c r="O103" s="4" t="s">
        <v>379</v>
      </c>
    </row>
    <row r="104" customFormat="false" ht="23.85" hidden="false" customHeight="false" outlineLevel="0" collapsed="false">
      <c r="A104" s="4" t="n">
        <v>9</v>
      </c>
      <c r="B104" s="4" t="s">
        <v>359</v>
      </c>
      <c r="C104" s="4" t="s">
        <v>360</v>
      </c>
      <c r="D104" s="4" t="s">
        <v>361</v>
      </c>
      <c r="E104" s="4" t="s">
        <v>380</v>
      </c>
      <c r="F104" s="4" t="s">
        <v>381</v>
      </c>
      <c r="G104" s="4" t="s">
        <v>114</v>
      </c>
      <c r="H104" s="4" t="s">
        <v>382</v>
      </c>
      <c r="I104" s="4" t="s">
        <v>93</v>
      </c>
      <c r="J104" s="4" t="s">
        <v>383</v>
      </c>
      <c r="K104" s="4" t="s">
        <v>384</v>
      </c>
      <c r="L104" s="4" t="s">
        <v>36</v>
      </c>
      <c r="M104" s="4" t="s">
        <v>37</v>
      </c>
      <c r="N104" s="4" t="n">
        <v>1</v>
      </c>
      <c r="O104" s="4" t="s">
        <v>385</v>
      </c>
    </row>
    <row r="105" customFormat="false" ht="23.85" hidden="false" customHeight="false" outlineLevel="0" collapsed="false">
      <c r="A105" s="4" t="n">
        <v>9</v>
      </c>
      <c r="B105" s="4" t="s">
        <v>359</v>
      </c>
      <c r="C105" s="4" t="s">
        <v>360</v>
      </c>
      <c r="D105" s="4" t="s">
        <v>361</v>
      </c>
      <c r="E105" s="4" t="s">
        <v>386</v>
      </c>
      <c r="F105" s="4" t="s">
        <v>387</v>
      </c>
      <c r="G105" s="4" t="s">
        <v>114</v>
      </c>
      <c r="H105" s="4" t="s">
        <v>346</v>
      </c>
      <c r="I105" s="4" t="s">
        <v>149</v>
      </c>
      <c r="J105" s="4" t="s">
        <v>388</v>
      </c>
      <c r="K105" s="4" t="s">
        <v>389</v>
      </c>
      <c r="L105" s="4" t="s">
        <v>36</v>
      </c>
      <c r="M105" s="4" t="s">
        <v>36</v>
      </c>
      <c r="N105" s="4" t="n">
        <v>1</v>
      </c>
      <c r="O105" s="4" t="s">
        <v>390</v>
      </c>
    </row>
    <row r="106" customFormat="false" ht="15" hidden="false" customHeight="false" outlineLevel="0" collapsed="false">
      <c r="A106" s="4" t="n">
        <v>9</v>
      </c>
      <c r="B106" s="4" t="s">
        <v>359</v>
      </c>
      <c r="C106" s="4" t="s">
        <v>360</v>
      </c>
      <c r="D106" s="4" t="s">
        <v>361</v>
      </c>
      <c r="E106" s="4" t="s">
        <v>391</v>
      </c>
      <c r="F106" s="4" t="s">
        <v>392</v>
      </c>
      <c r="G106" s="4" t="s">
        <v>55</v>
      </c>
      <c r="H106" s="4" t="s">
        <v>393</v>
      </c>
      <c r="I106" s="4" t="s">
        <v>149</v>
      </c>
      <c r="J106" s="4" t="s">
        <v>394</v>
      </c>
      <c r="K106" s="4" t="s">
        <v>102</v>
      </c>
      <c r="L106" s="4" t="s">
        <v>36</v>
      </c>
      <c r="M106" s="4" t="s">
        <v>37</v>
      </c>
      <c r="N106" s="4" t="n">
        <v>1</v>
      </c>
      <c r="O106" s="4"/>
    </row>
    <row r="107" customFormat="false" ht="23.85" hidden="false" customHeight="false" outlineLevel="0" collapsed="false">
      <c r="A107" s="4" t="n">
        <v>9</v>
      </c>
      <c r="B107" s="4" t="s">
        <v>359</v>
      </c>
      <c r="C107" s="4" t="s">
        <v>360</v>
      </c>
      <c r="D107" s="4" t="s">
        <v>361</v>
      </c>
      <c r="E107" s="4" t="s">
        <v>395</v>
      </c>
      <c r="F107" s="4" t="s">
        <v>396</v>
      </c>
      <c r="G107" s="4" t="s">
        <v>55</v>
      </c>
      <c r="H107" s="4" t="s">
        <v>397</v>
      </c>
      <c r="I107" s="4" t="s">
        <v>149</v>
      </c>
      <c r="J107" s="4" t="s">
        <v>398</v>
      </c>
      <c r="K107" s="4" t="s">
        <v>102</v>
      </c>
      <c r="L107" s="4" t="s">
        <v>36</v>
      </c>
      <c r="M107" s="4" t="s">
        <v>37</v>
      </c>
      <c r="N107" s="4" t="n">
        <v>1</v>
      </c>
      <c r="O107" s="4"/>
    </row>
    <row r="108" customFormat="false" ht="23.85" hidden="false" customHeight="false" outlineLevel="0" collapsed="false">
      <c r="A108" s="4" t="n">
        <v>9</v>
      </c>
      <c r="B108" s="4" t="s">
        <v>359</v>
      </c>
      <c r="C108" s="4" t="s">
        <v>360</v>
      </c>
      <c r="D108" s="4" t="s">
        <v>361</v>
      </c>
      <c r="E108" s="4" t="s">
        <v>268</v>
      </c>
      <c r="F108" s="4" t="s">
        <v>269</v>
      </c>
      <c r="G108" s="4" t="s">
        <v>31</v>
      </c>
      <c r="H108" s="4" t="s">
        <v>41</v>
      </c>
      <c r="I108" s="4" t="s">
        <v>191</v>
      </c>
      <c r="J108" s="4" t="s">
        <v>399</v>
      </c>
      <c r="K108" s="4" t="s">
        <v>400</v>
      </c>
      <c r="L108" s="4" t="s">
        <v>37</v>
      </c>
      <c r="M108" s="4" t="s">
        <v>37</v>
      </c>
      <c r="N108" s="4" t="n">
        <v>2</v>
      </c>
      <c r="O108" s="4"/>
    </row>
    <row r="109" customFormat="false" ht="15" hidden="false" customHeight="false" outlineLevel="0" collapsed="false">
      <c r="A109" s="4" t="n">
        <v>9</v>
      </c>
      <c r="B109" s="4" t="s">
        <v>359</v>
      </c>
      <c r="C109" s="4" t="s">
        <v>360</v>
      </c>
      <c r="D109" s="4" t="s">
        <v>361</v>
      </c>
      <c r="E109" s="4" t="s">
        <v>401</v>
      </c>
      <c r="F109" s="4" t="s">
        <v>402</v>
      </c>
      <c r="G109" s="4" t="s">
        <v>55</v>
      </c>
      <c r="H109" s="4" t="s">
        <v>403</v>
      </c>
      <c r="I109" s="4" t="s">
        <v>149</v>
      </c>
      <c r="J109" s="4" t="s">
        <v>404</v>
      </c>
      <c r="K109" s="4" t="s">
        <v>102</v>
      </c>
      <c r="L109" s="4" t="s">
        <v>36</v>
      </c>
      <c r="M109" s="4" t="s">
        <v>36</v>
      </c>
      <c r="N109" s="4" t="n">
        <v>1</v>
      </c>
      <c r="O109" s="4" t="s">
        <v>405</v>
      </c>
    </row>
    <row r="110" customFormat="false" ht="23.85" hidden="false" customHeight="false" outlineLevel="0" collapsed="false">
      <c r="A110" s="4" t="n">
        <v>9</v>
      </c>
      <c r="B110" s="4" t="s">
        <v>359</v>
      </c>
      <c r="C110" s="4" t="s">
        <v>360</v>
      </c>
      <c r="D110" s="4" t="s">
        <v>361</v>
      </c>
      <c r="E110" s="4" t="s">
        <v>406</v>
      </c>
      <c r="F110" s="4" t="s">
        <v>407</v>
      </c>
      <c r="G110" s="4" t="s">
        <v>55</v>
      </c>
      <c r="H110" s="4" t="s">
        <v>153</v>
      </c>
      <c r="I110" s="4" t="s">
        <v>149</v>
      </c>
      <c r="J110" s="4" t="s">
        <v>408</v>
      </c>
      <c r="K110" s="4" t="s">
        <v>102</v>
      </c>
      <c r="L110" s="4" t="s">
        <v>36</v>
      </c>
      <c r="M110" s="4" t="s">
        <v>36</v>
      </c>
      <c r="N110" s="4" t="n">
        <v>1</v>
      </c>
      <c r="O110" s="4" t="s">
        <v>409</v>
      </c>
    </row>
    <row r="111" customFormat="false" ht="23.85" hidden="false" customHeight="false" outlineLevel="0" collapsed="false">
      <c r="A111" s="4" t="n">
        <v>9</v>
      </c>
      <c r="B111" s="4" t="s">
        <v>359</v>
      </c>
      <c r="C111" s="4" t="s">
        <v>360</v>
      </c>
      <c r="D111" s="4" t="s">
        <v>361</v>
      </c>
      <c r="E111" s="4" t="s">
        <v>410</v>
      </c>
      <c r="F111" s="4" t="s">
        <v>411</v>
      </c>
      <c r="G111" s="4" t="s">
        <v>119</v>
      </c>
      <c r="H111" s="4" t="s">
        <v>412</v>
      </c>
      <c r="I111" s="4" t="s">
        <v>120</v>
      </c>
      <c r="J111" s="4" t="s">
        <v>413</v>
      </c>
      <c r="K111" s="4" t="s">
        <v>102</v>
      </c>
      <c r="L111" s="4" t="s">
        <v>36</v>
      </c>
      <c r="M111" s="4" t="s">
        <v>36</v>
      </c>
      <c r="N111" s="4" t="n">
        <v>1</v>
      </c>
      <c r="O111" s="4" t="s">
        <v>414</v>
      </c>
    </row>
    <row r="112" customFormat="false" ht="23.85" hidden="false" customHeight="false" outlineLevel="0" collapsed="false">
      <c r="A112" s="4" t="n">
        <v>9</v>
      </c>
      <c r="B112" s="4" t="s">
        <v>359</v>
      </c>
      <c r="C112" s="4" t="s">
        <v>360</v>
      </c>
      <c r="D112" s="4" t="s">
        <v>361</v>
      </c>
      <c r="E112" s="4" t="s">
        <v>415</v>
      </c>
      <c r="F112" s="4" t="s">
        <v>416</v>
      </c>
      <c r="G112" s="4" t="s">
        <v>55</v>
      </c>
      <c r="H112" s="4" t="s">
        <v>368</v>
      </c>
      <c r="I112" s="4" t="s">
        <v>120</v>
      </c>
      <c r="J112" s="4" t="s">
        <v>417</v>
      </c>
      <c r="K112" s="4" t="s">
        <v>389</v>
      </c>
      <c r="L112" s="4" t="s">
        <v>36</v>
      </c>
      <c r="M112" s="4" t="s">
        <v>37</v>
      </c>
      <c r="N112" s="4" t="n">
        <v>1</v>
      </c>
      <c r="O112" s="4"/>
    </row>
    <row r="113" customFormat="false" ht="23.85" hidden="false" customHeight="false" outlineLevel="0" collapsed="false">
      <c r="A113" s="4" t="n">
        <v>9</v>
      </c>
      <c r="B113" s="4" t="s">
        <v>359</v>
      </c>
      <c r="C113" s="4" t="s">
        <v>360</v>
      </c>
      <c r="D113" s="4" t="s">
        <v>361</v>
      </c>
      <c r="E113" s="4" t="s">
        <v>418</v>
      </c>
      <c r="F113" s="4" t="s">
        <v>419</v>
      </c>
      <c r="G113" s="4" t="s">
        <v>119</v>
      </c>
      <c r="H113" s="4" t="s">
        <v>206</v>
      </c>
      <c r="I113" s="4" t="s">
        <v>120</v>
      </c>
      <c r="J113" s="4" t="s">
        <v>420</v>
      </c>
      <c r="K113" s="4" t="s">
        <v>421</v>
      </c>
      <c r="L113" s="4" t="s">
        <v>36</v>
      </c>
      <c r="M113" s="4" t="s">
        <v>37</v>
      </c>
      <c r="N113" s="4" t="n">
        <v>1</v>
      </c>
      <c r="O113" s="4"/>
    </row>
    <row r="114" customFormat="false" ht="15" hidden="false" customHeight="false" outlineLevel="0" collapsed="false">
      <c r="A114" s="4" t="n">
        <v>9</v>
      </c>
      <c r="B114" s="4" t="s">
        <v>359</v>
      </c>
      <c r="C114" s="4" t="s">
        <v>360</v>
      </c>
      <c r="D114" s="4" t="s">
        <v>361</v>
      </c>
      <c r="E114" s="4" t="s">
        <v>422</v>
      </c>
      <c r="F114" s="4" t="s">
        <v>423</v>
      </c>
      <c r="G114" s="4" t="s">
        <v>119</v>
      </c>
      <c r="H114" s="4" t="s">
        <v>424</v>
      </c>
      <c r="I114" s="4" t="s">
        <v>120</v>
      </c>
      <c r="J114" s="4" t="s">
        <v>425</v>
      </c>
      <c r="K114" s="4" t="s">
        <v>102</v>
      </c>
      <c r="L114" s="4" t="s">
        <v>36</v>
      </c>
      <c r="M114" s="4" t="s">
        <v>37</v>
      </c>
      <c r="N114" s="4" t="n">
        <v>1</v>
      </c>
      <c r="O114" s="4" t="s">
        <v>426</v>
      </c>
    </row>
    <row r="115" customFormat="false" ht="15" hidden="false" customHeight="false" outlineLevel="0" collapsed="false">
      <c r="A115" s="4" t="n">
        <v>9</v>
      </c>
      <c r="B115" s="4" t="s">
        <v>359</v>
      </c>
      <c r="C115" s="4" t="s">
        <v>360</v>
      </c>
      <c r="D115" s="4" t="s">
        <v>361</v>
      </c>
      <c r="E115" s="4" t="s">
        <v>427</v>
      </c>
      <c r="F115" s="4" t="s">
        <v>428</v>
      </c>
      <c r="G115" s="4" t="s">
        <v>176</v>
      </c>
      <c r="H115" s="4" t="s">
        <v>429</v>
      </c>
      <c r="I115" s="4" t="s">
        <v>120</v>
      </c>
      <c r="J115" s="4" t="s">
        <v>425</v>
      </c>
      <c r="K115" s="4" t="s">
        <v>102</v>
      </c>
      <c r="L115" s="4" t="s">
        <v>36</v>
      </c>
      <c r="M115" s="4" t="s">
        <v>37</v>
      </c>
      <c r="N115" s="4" t="n">
        <v>1</v>
      </c>
      <c r="O115" s="4" t="s">
        <v>253</v>
      </c>
    </row>
    <row r="116" customFormat="false" ht="15" hidden="false" customHeight="false" outlineLevel="0" collapsed="false">
      <c r="A116" s="4" t="n">
        <v>10</v>
      </c>
      <c r="B116" s="4" t="s">
        <v>430</v>
      </c>
      <c r="C116" s="4" t="s">
        <v>431</v>
      </c>
      <c r="D116" s="4" t="s">
        <v>432</v>
      </c>
      <c r="E116" s="4" t="s">
        <v>433</v>
      </c>
      <c r="F116" s="4" t="s">
        <v>434</v>
      </c>
      <c r="G116" s="4" t="s">
        <v>119</v>
      </c>
      <c r="H116" s="4" t="s">
        <v>435</v>
      </c>
      <c r="I116" s="4" t="s">
        <v>93</v>
      </c>
      <c r="J116" s="4" t="s">
        <v>436</v>
      </c>
      <c r="K116" s="4" t="s">
        <v>51</v>
      </c>
      <c r="L116" s="4" t="s">
        <v>36</v>
      </c>
      <c r="M116" s="4" t="s">
        <v>37</v>
      </c>
      <c r="N116" s="4" t="n">
        <v>2</v>
      </c>
      <c r="O116" s="4" t="s">
        <v>437</v>
      </c>
    </row>
    <row r="117" customFormat="false" ht="15" hidden="false" customHeight="false" outlineLevel="0" collapsed="false">
      <c r="A117" s="4" t="n">
        <v>10</v>
      </c>
      <c r="B117" s="4" t="s">
        <v>430</v>
      </c>
      <c r="C117" s="4" t="s">
        <v>431</v>
      </c>
      <c r="D117" s="4" t="s">
        <v>432</v>
      </c>
      <c r="E117" s="4" t="s">
        <v>438</v>
      </c>
      <c r="F117" s="4" t="s">
        <v>439</v>
      </c>
      <c r="G117" s="4" t="s">
        <v>119</v>
      </c>
      <c r="H117" s="4" t="s">
        <v>440</v>
      </c>
      <c r="I117" s="4" t="s">
        <v>93</v>
      </c>
      <c r="J117" s="4" t="s">
        <v>441</v>
      </c>
      <c r="K117" s="4" t="s">
        <v>51</v>
      </c>
      <c r="L117" s="4" t="s">
        <v>36</v>
      </c>
      <c r="M117" s="4" t="s">
        <v>37</v>
      </c>
      <c r="N117" s="4" t="n">
        <v>3</v>
      </c>
      <c r="O117" s="4" t="s">
        <v>442</v>
      </c>
    </row>
    <row r="118" customFormat="false" ht="15" hidden="false" customHeight="false" outlineLevel="0" collapsed="false">
      <c r="A118" s="4" t="n">
        <v>10</v>
      </c>
      <c r="B118" s="4" t="s">
        <v>430</v>
      </c>
      <c r="C118" s="4" t="s">
        <v>431</v>
      </c>
      <c r="D118" s="4" t="s">
        <v>432</v>
      </c>
      <c r="E118" s="4" t="s">
        <v>443</v>
      </c>
      <c r="F118" s="4" t="s">
        <v>444</v>
      </c>
      <c r="G118" s="4" t="s">
        <v>55</v>
      </c>
      <c r="H118" s="4" t="s">
        <v>445</v>
      </c>
      <c r="I118" s="4" t="s">
        <v>93</v>
      </c>
      <c r="J118" s="4" t="s">
        <v>446</v>
      </c>
      <c r="K118" s="4" t="s">
        <v>102</v>
      </c>
      <c r="L118" s="4" t="s">
        <v>36</v>
      </c>
      <c r="M118" s="4" t="s">
        <v>37</v>
      </c>
      <c r="N118" s="4" t="n">
        <v>1</v>
      </c>
      <c r="O118" s="4" t="s">
        <v>447</v>
      </c>
    </row>
    <row r="119" customFormat="false" ht="15" hidden="false" customHeight="false" outlineLevel="0" collapsed="false">
      <c r="A119" s="4" t="n">
        <v>10</v>
      </c>
      <c r="B119" s="4" t="s">
        <v>430</v>
      </c>
      <c r="C119" s="4" t="s">
        <v>431</v>
      </c>
      <c r="D119" s="4" t="s">
        <v>432</v>
      </c>
      <c r="E119" s="4" t="s">
        <v>448</v>
      </c>
      <c r="F119" s="4" t="s">
        <v>449</v>
      </c>
      <c r="G119" s="4" t="s">
        <v>55</v>
      </c>
      <c r="H119" s="4" t="s">
        <v>450</v>
      </c>
      <c r="I119" s="4" t="s">
        <v>93</v>
      </c>
      <c r="J119" s="4" t="s">
        <v>451</v>
      </c>
      <c r="K119" s="4" t="s">
        <v>102</v>
      </c>
      <c r="L119" s="4" t="s">
        <v>36</v>
      </c>
      <c r="M119" s="4" t="s">
        <v>37</v>
      </c>
      <c r="N119" s="4" t="n">
        <v>2</v>
      </c>
      <c r="O119" s="4"/>
    </row>
    <row r="120" customFormat="false" ht="15" hidden="false" customHeight="false" outlineLevel="0" collapsed="false">
      <c r="A120" s="4" t="n">
        <v>10</v>
      </c>
      <c r="B120" s="4" t="s">
        <v>430</v>
      </c>
      <c r="C120" s="4" t="s">
        <v>431</v>
      </c>
      <c r="D120" s="4" t="s">
        <v>432</v>
      </c>
      <c r="E120" s="4" t="s">
        <v>452</v>
      </c>
      <c r="F120" s="4" t="s">
        <v>453</v>
      </c>
      <c r="G120" s="4" t="s">
        <v>55</v>
      </c>
      <c r="H120" s="4" t="s">
        <v>454</v>
      </c>
      <c r="I120" s="4" t="s">
        <v>93</v>
      </c>
      <c r="J120" s="4" t="s">
        <v>455</v>
      </c>
      <c r="K120" s="4" t="s">
        <v>51</v>
      </c>
      <c r="L120" s="4" t="s">
        <v>36</v>
      </c>
      <c r="M120" s="4" t="s">
        <v>37</v>
      </c>
      <c r="N120" s="4" t="n">
        <v>3</v>
      </c>
      <c r="O120" s="4" t="s">
        <v>456</v>
      </c>
    </row>
    <row r="121" customFormat="false" ht="15" hidden="false" customHeight="false" outlineLevel="0" collapsed="false">
      <c r="A121" s="4" t="n">
        <v>10</v>
      </c>
      <c r="B121" s="4" t="s">
        <v>430</v>
      </c>
      <c r="C121" s="4" t="s">
        <v>431</v>
      </c>
      <c r="D121" s="4" t="s">
        <v>432</v>
      </c>
      <c r="E121" s="4" t="s">
        <v>457</v>
      </c>
      <c r="F121" s="4" t="s">
        <v>458</v>
      </c>
      <c r="G121" s="4" t="s">
        <v>55</v>
      </c>
      <c r="H121" s="4" t="s">
        <v>206</v>
      </c>
      <c r="I121" s="4" t="s">
        <v>149</v>
      </c>
      <c r="J121" s="4" t="s">
        <v>459</v>
      </c>
      <c r="K121" s="4" t="s">
        <v>51</v>
      </c>
      <c r="L121" s="4" t="s">
        <v>36</v>
      </c>
      <c r="M121" s="4" t="s">
        <v>37</v>
      </c>
      <c r="N121" s="4" t="n">
        <v>2</v>
      </c>
      <c r="O121" s="4"/>
    </row>
    <row r="122" customFormat="false" ht="15" hidden="false" customHeight="false" outlineLevel="0" collapsed="false">
      <c r="A122" s="4" t="n">
        <v>10</v>
      </c>
      <c r="B122" s="4" t="s">
        <v>430</v>
      </c>
      <c r="C122" s="4" t="s">
        <v>431</v>
      </c>
      <c r="D122" s="4" t="s">
        <v>432</v>
      </c>
      <c r="E122" s="4" t="s">
        <v>460</v>
      </c>
      <c r="F122" s="4" t="s">
        <v>461</v>
      </c>
      <c r="G122" s="4" t="s">
        <v>55</v>
      </c>
      <c r="H122" s="4" t="s">
        <v>462</v>
      </c>
      <c r="I122" s="4" t="s">
        <v>149</v>
      </c>
      <c r="J122" s="4" t="s">
        <v>463</v>
      </c>
      <c r="K122" s="4" t="s">
        <v>102</v>
      </c>
      <c r="L122" s="4" t="s">
        <v>36</v>
      </c>
      <c r="M122" s="4" t="s">
        <v>37</v>
      </c>
      <c r="N122" s="4" t="n">
        <v>2</v>
      </c>
      <c r="O122" s="4"/>
    </row>
    <row r="123" customFormat="false" ht="15" hidden="false" customHeight="false" outlineLevel="0" collapsed="false">
      <c r="A123" s="4" t="n">
        <v>10</v>
      </c>
      <c r="B123" s="4" t="s">
        <v>430</v>
      </c>
      <c r="C123" s="4" t="s">
        <v>431</v>
      </c>
      <c r="D123" s="4" t="s">
        <v>432</v>
      </c>
      <c r="E123" s="4" t="s">
        <v>464</v>
      </c>
      <c r="F123" s="4" t="s">
        <v>465</v>
      </c>
      <c r="G123" s="4" t="s">
        <v>55</v>
      </c>
      <c r="H123" s="4" t="s">
        <v>128</v>
      </c>
      <c r="I123" s="4" t="s">
        <v>149</v>
      </c>
      <c r="J123" s="4" t="s">
        <v>463</v>
      </c>
      <c r="K123" s="4" t="s">
        <v>102</v>
      </c>
      <c r="L123" s="4" t="s">
        <v>36</v>
      </c>
      <c r="M123" s="4" t="s">
        <v>37</v>
      </c>
      <c r="N123" s="4" t="n">
        <v>1</v>
      </c>
      <c r="O123" s="4"/>
    </row>
    <row r="124" customFormat="false" ht="15" hidden="false" customHeight="false" outlineLevel="0" collapsed="false">
      <c r="A124" s="4" t="n">
        <v>10</v>
      </c>
      <c r="B124" s="4" t="s">
        <v>430</v>
      </c>
      <c r="C124" s="4" t="s">
        <v>431</v>
      </c>
      <c r="D124" s="4" t="s">
        <v>432</v>
      </c>
      <c r="E124" s="4" t="s">
        <v>466</v>
      </c>
      <c r="F124" s="4" t="s">
        <v>467</v>
      </c>
      <c r="G124" s="4" t="s">
        <v>55</v>
      </c>
      <c r="H124" s="4" t="s">
        <v>468</v>
      </c>
      <c r="I124" s="4" t="s">
        <v>149</v>
      </c>
      <c r="J124" s="4" t="s">
        <v>469</v>
      </c>
      <c r="K124" s="4" t="s">
        <v>51</v>
      </c>
      <c r="L124" s="4" t="s">
        <v>36</v>
      </c>
      <c r="M124" s="4" t="s">
        <v>37</v>
      </c>
      <c r="N124" s="4" t="n">
        <v>2</v>
      </c>
      <c r="O124" s="4"/>
    </row>
    <row r="125" customFormat="false" ht="15" hidden="false" customHeight="false" outlineLevel="0" collapsed="false">
      <c r="A125" s="4" t="n">
        <v>10</v>
      </c>
      <c r="B125" s="4" t="s">
        <v>430</v>
      </c>
      <c r="C125" s="4" t="s">
        <v>431</v>
      </c>
      <c r="D125" s="4" t="s">
        <v>432</v>
      </c>
      <c r="E125" s="4" t="s">
        <v>470</v>
      </c>
      <c r="F125" s="4" t="s">
        <v>471</v>
      </c>
      <c r="G125" s="4" t="s">
        <v>114</v>
      </c>
      <c r="H125" s="4" t="s">
        <v>472</v>
      </c>
      <c r="I125" s="4" t="s">
        <v>149</v>
      </c>
      <c r="J125" s="4" t="s">
        <v>473</v>
      </c>
      <c r="K125" s="4" t="s">
        <v>102</v>
      </c>
      <c r="L125" s="4" t="s">
        <v>36</v>
      </c>
      <c r="M125" s="4" t="s">
        <v>36</v>
      </c>
      <c r="N125" s="4" t="n">
        <v>1</v>
      </c>
      <c r="O125" s="4"/>
    </row>
    <row r="126" customFormat="false" ht="23.85" hidden="false" customHeight="false" outlineLevel="0" collapsed="false">
      <c r="A126" s="4" t="n">
        <v>10</v>
      </c>
      <c r="B126" s="4" t="s">
        <v>430</v>
      </c>
      <c r="C126" s="4" t="s">
        <v>431</v>
      </c>
      <c r="D126" s="4" t="s">
        <v>432</v>
      </c>
      <c r="E126" s="4" t="s">
        <v>474</v>
      </c>
      <c r="F126" s="4" t="s">
        <v>475</v>
      </c>
      <c r="G126" s="4" t="s">
        <v>119</v>
      </c>
      <c r="H126" s="4" t="s">
        <v>309</v>
      </c>
      <c r="I126" s="4" t="s">
        <v>149</v>
      </c>
      <c r="J126" s="4" t="s">
        <v>476</v>
      </c>
      <c r="K126" s="4" t="s">
        <v>51</v>
      </c>
      <c r="L126" s="4" t="s">
        <v>36</v>
      </c>
      <c r="M126" s="4" t="s">
        <v>37</v>
      </c>
      <c r="N126" s="4" t="n">
        <v>1</v>
      </c>
      <c r="O126" s="4" t="s">
        <v>477</v>
      </c>
    </row>
    <row r="127" customFormat="false" ht="15" hidden="false" customHeight="false" outlineLevel="0" collapsed="false">
      <c r="A127" s="4" t="n">
        <v>10</v>
      </c>
      <c r="B127" s="4" t="s">
        <v>430</v>
      </c>
      <c r="C127" s="4" t="s">
        <v>431</v>
      </c>
      <c r="D127" s="4" t="s">
        <v>432</v>
      </c>
      <c r="E127" s="4" t="s">
        <v>478</v>
      </c>
      <c r="F127" s="4" t="s">
        <v>479</v>
      </c>
      <c r="G127" s="4" t="s">
        <v>55</v>
      </c>
      <c r="H127" s="4" t="s">
        <v>235</v>
      </c>
      <c r="I127" s="4" t="s">
        <v>120</v>
      </c>
      <c r="J127" s="4" t="s">
        <v>480</v>
      </c>
      <c r="K127" s="4" t="s">
        <v>481</v>
      </c>
      <c r="L127" s="4" t="s">
        <v>36</v>
      </c>
      <c r="M127" s="4" t="s">
        <v>37</v>
      </c>
      <c r="N127" s="4" t="n">
        <v>1</v>
      </c>
      <c r="O127" s="4"/>
    </row>
    <row r="128" customFormat="false" ht="15" hidden="false" customHeight="false" outlineLevel="0" collapsed="false">
      <c r="A128" s="4" t="n">
        <v>10</v>
      </c>
      <c r="B128" s="4" t="s">
        <v>430</v>
      </c>
      <c r="C128" s="4" t="s">
        <v>431</v>
      </c>
      <c r="D128" s="4" t="s">
        <v>432</v>
      </c>
      <c r="E128" s="4" t="s">
        <v>482</v>
      </c>
      <c r="F128" s="4" t="s">
        <v>483</v>
      </c>
      <c r="G128" s="4" t="s">
        <v>55</v>
      </c>
      <c r="H128" s="4" t="s">
        <v>484</v>
      </c>
      <c r="I128" s="4" t="s">
        <v>120</v>
      </c>
      <c r="J128" s="4" t="s">
        <v>485</v>
      </c>
      <c r="K128" s="4" t="s">
        <v>51</v>
      </c>
      <c r="L128" s="4" t="s">
        <v>36</v>
      </c>
      <c r="M128" s="4" t="s">
        <v>37</v>
      </c>
      <c r="N128" s="4" t="n">
        <v>1</v>
      </c>
      <c r="O128" s="4"/>
    </row>
    <row r="129" customFormat="false" ht="15" hidden="false" customHeight="false" outlineLevel="0" collapsed="false">
      <c r="A129" s="4" t="n">
        <v>10</v>
      </c>
      <c r="B129" s="4" t="s">
        <v>430</v>
      </c>
      <c r="C129" s="4" t="s">
        <v>431</v>
      </c>
      <c r="D129" s="4" t="s">
        <v>432</v>
      </c>
      <c r="E129" s="4" t="s">
        <v>486</v>
      </c>
      <c r="F129" s="4" t="s">
        <v>487</v>
      </c>
      <c r="G129" s="4" t="s">
        <v>176</v>
      </c>
      <c r="H129" s="4" t="s">
        <v>488</v>
      </c>
      <c r="I129" s="4" t="s">
        <v>120</v>
      </c>
      <c r="J129" s="4" t="s">
        <v>485</v>
      </c>
      <c r="K129" s="4" t="s">
        <v>102</v>
      </c>
      <c r="L129" s="4" t="s">
        <v>36</v>
      </c>
      <c r="M129" s="4" t="s">
        <v>37</v>
      </c>
      <c r="N129" s="4" t="n">
        <v>1</v>
      </c>
      <c r="O129" s="4" t="s">
        <v>253</v>
      </c>
    </row>
    <row r="130" customFormat="false" ht="23.85" hidden="false" customHeight="false" outlineLevel="0" collapsed="false">
      <c r="A130" s="4" t="n">
        <v>11</v>
      </c>
      <c r="B130" s="4" t="s">
        <v>489</v>
      </c>
      <c r="C130" s="4" t="s">
        <v>490</v>
      </c>
      <c r="D130" s="4" t="s">
        <v>432</v>
      </c>
      <c r="E130" s="4" t="s">
        <v>491</v>
      </c>
      <c r="F130" s="4" t="s">
        <v>492</v>
      </c>
      <c r="G130" s="4" t="s">
        <v>114</v>
      </c>
      <c r="H130" s="4" t="s">
        <v>493</v>
      </c>
      <c r="I130" s="4" t="s">
        <v>184</v>
      </c>
      <c r="J130" s="4" t="s">
        <v>494</v>
      </c>
      <c r="K130" s="4" t="s">
        <v>389</v>
      </c>
      <c r="L130" s="4" t="s">
        <v>36</v>
      </c>
      <c r="M130" s="4" t="s">
        <v>37</v>
      </c>
      <c r="N130" s="4" t="n">
        <v>1</v>
      </c>
      <c r="O130" s="4" t="s">
        <v>495</v>
      </c>
    </row>
    <row r="131" customFormat="false" ht="15" hidden="false" customHeight="false" outlineLevel="0" collapsed="false">
      <c r="A131" s="4" t="n">
        <v>11</v>
      </c>
      <c r="B131" s="4" t="s">
        <v>489</v>
      </c>
      <c r="C131" s="4" t="s">
        <v>490</v>
      </c>
      <c r="D131" s="4" t="s">
        <v>432</v>
      </c>
      <c r="E131" s="4" t="s">
        <v>496</v>
      </c>
      <c r="F131" s="4" t="s">
        <v>497</v>
      </c>
      <c r="G131" s="4" t="s">
        <v>55</v>
      </c>
      <c r="H131" s="4" t="s">
        <v>498</v>
      </c>
      <c r="I131" s="4" t="s">
        <v>184</v>
      </c>
      <c r="J131" s="4" t="s">
        <v>499</v>
      </c>
      <c r="K131" s="4" t="s">
        <v>481</v>
      </c>
      <c r="L131" s="4" t="s">
        <v>36</v>
      </c>
      <c r="M131" s="4" t="s">
        <v>37</v>
      </c>
      <c r="N131" s="4" t="n">
        <v>1</v>
      </c>
      <c r="O131" s="4" t="s">
        <v>500</v>
      </c>
    </row>
    <row r="132" customFormat="false" ht="23.85" hidden="false" customHeight="false" outlineLevel="0" collapsed="false">
      <c r="A132" s="4" t="n">
        <v>11</v>
      </c>
      <c r="B132" s="4" t="s">
        <v>489</v>
      </c>
      <c r="C132" s="4" t="s">
        <v>490</v>
      </c>
      <c r="D132" s="4" t="s">
        <v>432</v>
      </c>
      <c r="E132" s="4" t="s">
        <v>433</v>
      </c>
      <c r="F132" s="4" t="s">
        <v>434</v>
      </c>
      <c r="G132" s="4" t="s">
        <v>119</v>
      </c>
      <c r="H132" s="4" t="s">
        <v>435</v>
      </c>
      <c r="I132" s="4" t="s">
        <v>191</v>
      </c>
      <c r="J132" s="4" t="s">
        <v>501</v>
      </c>
      <c r="K132" s="4" t="s">
        <v>51</v>
      </c>
      <c r="L132" s="4" t="s">
        <v>37</v>
      </c>
      <c r="M132" s="4" t="s">
        <v>37</v>
      </c>
      <c r="N132" s="4" t="n">
        <v>2</v>
      </c>
      <c r="O132" s="4"/>
    </row>
    <row r="133" customFormat="false" ht="23.85" hidden="false" customHeight="false" outlineLevel="0" collapsed="false">
      <c r="A133" s="4" t="n">
        <v>11</v>
      </c>
      <c r="B133" s="4" t="s">
        <v>489</v>
      </c>
      <c r="C133" s="4" t="s">
        <v>490</v>
      </c>
      <c r="D133" s="4" t="s">
        <v>432</v>
      </c>
      <c r="E133" s="4" t="s">
        <v>438</v>
      </c>
      <c r="F133" s="4" t="s">
        <v>439</v>
      </c>
      <c r="G133" s="4" t="s">
        <v>119</v>
      </c>
      <c r="H133" s="4" t="s">
        <v>440</v>
      </c>
      <c r="I133" s="4" t="s">
        <v>191</v>
      </c>
      <c r="J133" s="4" t="s">
        <v>502</v>
      </c>
      <c r="K133" s="4" t="s">
        <v>51</v>
      </c>
      <c r="L133" s="4" t="s">
        <v>37</v>
      </c>
      <c r="M133" s="4" t="s">
        <v>37</v>
      </c>
      <c r="N133" s="4" t="n">
        <v>3</v>
      </c>
      <c r="O133" s="4"/>
    </row>
    <row r="134" customFormat="false" ht="23.85" hidden="false" customHeight="false" outlineLevel="0" collapsed="false">
      <c r="A134" s="4" t="n">
        <v>11</v>
      </c>
      <c r="B134" s="4" t="s">
        <v>489</v>
      </c>
      <c r="C134" s="4" t="s">
        <v>490</v>
      </c>
      <c r="D134" s="4" t="s">
        <v>432</v>
      </c>
      <c r="E134" s="4" t="s">
        <v>457</v>
      </c>
      <c r="F134" s="4" t="s">
        <v>458</v>
      </c>
      <c r="G134" s="4" t="s">
        <v>55</v>
      </c>
      <c r="H134" s="4" t="s">
        <v>206</v>
      </c>
      <c r="I134" s="4" t="s">
        <v>191</v>
      </c>
      <c r="J134" s="4" t="s">
        <v>503</v>
      </c>
      <c r="K134" s="4" t="s">
        <v>51</v>
      </c>
      <c r="L134" s="4" t="s">
        <v>37</v>
      </c>
      <c r="M134" s="4" t="s">
        <v>37</v>
      </c>
      <c r="N134" s="4" t="n">
        <v>2</v>
      </c>
      <c r="O134" s="4"/>
    </row>
    <row r="135" customFormat="false" ht="23.85" hidden="false" customHeight="false" outlineLevel="0" collapsed="false">
      <c r="A135" s="4" t="n">
        <v>11</v>
      </c>
      <c r="B135" s="4" t="s">
        <v>489</v>
      </c>
      <c r="C135" s="4" t="s">
        <v>490</v>
      </c>
      <c r="D135" s="4" t="s">
        <v>432</v>
      </c>
      <c r="E135" s="4" t="s">
        <v>460</v>
      </c>
      <c r="F135" s="4" t="s">
        <v>461</v>
      </c>
      <c r="G135" s="4" t="s">
        <v>55</v>
      </c>
      <c r="H135" s="4" t="s">
        <v>462</v>
      </c>
      <c r="I135" s="4" t="s">
        <v>191</v>
      </c>
      <c r="J135" s="4" t="s">
        <v>504</v>
      </c>
      <c r="K135" s="4" t="s">
        <v>102</v>
      </c>
      <c r="L135" s="4" t="s">
        <v>37</v>
      </c>
      <c r="M135" s="4" t="s">
        <v>37</v>
      </c>
      <c r="N135" s="4" t="n">
        <v>2</v>
      </c>
      <c r="O135" s="4"/>
    </row>
    <row r="136" customFormat="false" ht="23.85" hidden="false" customHeight="false" outlineLevel="0" collapsed="false">
      <c r="A136" s="4" t="n">
        <v>11</v>
      </c>
      <c r="B136" s="4" t="s">
        <v>489</v>
      </c>
      <c r="C136" s="4" t="s">
        <v>490</v>
      </c>
      <c r="D136" s="4" t="s">
        <v>432</v>
      </c>
      <c r="E136" s="4" t="s">
        <v>448</v>
      </c>
      <c r="F136" s="4" t="s">
        <v>449</v>
      </c>
      <c r="G136" s="4" t="s">
        <v>55</v>
      </c>
      <c r="H136" s="4" t="s">
        <v>450</v>
      </c>
      <c r="I136" s="4" t="s">
        <v>191</v>
      </c>
      <c r="J136" s="4" t="s">
        <v>504</v>
      </c>
      <c r="K136" s="4" t="s">
        <v>102</v>
      </c>
      <c r="L136" s="4" t="s">
        <v>37</v>
      </c>
      <c r="M136" s="4" t="s">
        <v>37</v>
      </c>
      <c r="N136" s="4" t="n">
        <v>2</v>
      </c>
      <c r="O136" s="4"/>
    </row>
    <row r="137" customFormat="false" ht="23.85" hidden="false" customHeight="false" outlineLevel="0" collapsed="false">
      <c r="A137" s="4" t="n">
        <v>11</v>
      </c>
      <c r="B137" s="4" t="s">
        <v>489</v>
      </c>
      <c r="C137" s="4" t="s">
        <v>490</v>
      </c>
      <c r="D137" s="4" t="s">
        <v>432</v>
      </c>
      <c r="E137" s="4" t="s">
        <v>466</v>
      </c>
      <c r="F137" s="4" t="s">
        <v>467</v>
      </c>
      <c r="G137" s="4" t="s">
        <v>55</v>
      </c>
      <c r="H137" s="4" t="s">
        <v>468</v>
      </c>
      <c r="I137" s="4" t="s">
        <v>191</v>
      </c>
      <c r="J137" s="4" t="s">
        <v>505</v>
      </c>
      <c r="K137" s="4" t="s">
        <v>51</v>
      </c>
      <c r="L137" s="4" t="s">
        <v>37</v>
      </c>
      <c r="M137" s="4" t="s">
        <v>37</v>
      </c>
      <c r="N137" s="4" t="n">
        <v>2</v>
      </c>
      <c r="O137" s="4"/>
    </row>
    <row r="138" customFormat="false" ht="23.85" hidden="false" customHeight="false" outlineLevel="0" collapsed="false">
      <c r="A138" s="4" t="n">
        <v>11</v>
      </c>
      <c r="B138" s="4" t="s">
        <v>489</v>
      </c>
      <c r="C138" s="4" t="s">
        <v>490</v>
      </c>
      <c r="D138" s="4" t="s">
        <v>432</v>
      </c>
      <c r="E138" s="4" t="s">
        <v>452</v>
      </c>
      <c r="F138" s="4" t="s">
        <v>453</v>
      </c>
      <c r="G138" s="4" t="s">
        <v>55</v>
      </c>
      <c r="H138" s="4" t="s">
        <v>454</v>
      </c>
      <c r="I138" s="4" t="s">
        <v>191</v>
      </c>
      <c r="J138" s="4" t="s">
        <v>505</v>
      </c>
      <c r="K138" s="4" t="s">
        <v>51</v>
      </c>
      <c r="L138" s="4" t="s">
        <v>37</v>
      </c>
      <c r="M138" s="4" t="s">
        <v>37</v>
      </c>
      <c r="N138" s="4" t="n">
        <v>3</v>
      </c>
      <c r="O138" s="4"/>
    </row>
    <row r="139" customFormat="false" ht="15" hidden="false" customHeight="false" outlineLevel="0" collapsed="false">
      <c r="A139" s="4" t="n">
        <v>12</v>
      </c>
      <c r="B139" s="4" t="s">
        <v>506</v>
      </c>
      <c r="C139" s="4" t="s">
        <v>507</v>
      </c>
      <c r="D139" s="4" t="s">
        <v>508</v>
      </c>
      <c r="E139" s="4" t="s">
        <v>509</v>
      </c>
      <c r="F139" s="4" t="s">
        <v>510</v>
      </c>
      <c r="G139" s="4" t="s">
        <v>114</v>
      </c>
      <c r="H139" s="4" t="s">
        <v>511</v>
      </c>
      <c r="I139" s="4" t="s">
        <v>93</v>
      </c>
      <c r="J139" s="4" t="s">
        <v>512</v>
      </c>
      <c r="K139" s="4" t="s">
        <v>51</v>
      </c>
      <c r="L139" s="4" t="s">
        <v>36</v>
      </c>
      <c r="M139" s="4" t="s">
        <v>37</v>
      </c>
      <c r="N139" s="4" t="n">
        <v>1</v>
      </c>
      <c r="O139" s="4" t="s">
        <v>513</v>
      </c>
    </row>
    <row r="140" customFormat="false" ht="15" hidden="false" customHeight="false" outlineLevel="0" collapsed="false">
      <c r="A140" s="4" t="n">
        <v>12</v>
      </c>
      <c r="B140" s="4" t="s">
        <v>506</v>
      </c>
      <c r="C140" s="4" t="s">
        <v>507</v>
      </c>
      <c r="D140" s="4" t="s">
        <v>508</v>
      </c>
      <c r="E140" s="4" t="s">
        <v>514</v>
      </c>
      <c r="F140" s="4" t="s">
        <v>515</v>
      </c>
      <c r="G140" s="4" t="s">
        <v>55</v>
      </c>
      <c r="H140" s="4" t="s">
        <v>516</v>
      </c>
      <c r="I140" s="4" t="s">
        <v>93</v>
      </c>
      <c r="J140" s="4" t="s">
        <v>517</v>
      </c>
      <c r="K140" s="4" t="s">
        <v>51</v>
      </c>
      <c r="L140" s="4" t="s">
        <v>36</v>
      </c>
      <c r="M140" s="4" t="s">
        <v>37</v>
      </c>
      <c r="N140" s="4" t="n">
        <v>1</v>
      </c>
      <c r="O140" s="4" t="s">
        <v>518</v>
      </c>
    </row>
    <row r="141" customFormat="false" ht="23.85" hidden="false" customHeight="false" outlineLevel="0" collapsed="false">
      <c r="A141" s="4" t="n">
        <v>12</v>
      </c>
      <c r="B141" s="4" t="s">
        <v>506</v>
      </c>
      <c r="C141" s="4" t="s">
        <v>507</v>
      </c>
      <c r="D141" s="4" t="s">
        <v>508</v>
      </c>
      <c r="E141" s="4" t="s">
        <v>519</v>
      </c>
      <c r="F141" s="4" t="s">
        <v>520</v>
      </c>
      <c r="G141" s="4" t="s">
        <v>114</v>
      </c>
      <c r="H141" s="4" t="s">
        <v>521</v>
      </c>
      <c r="I141" s="4" t="s">
        <v>93</v>
      </c>
      <c r="J141" s="4" t="s">
        <v>522</v>
      </c>
      <c r="K141" s="4" t="s">
        <v>51</v>
      </c>
      <c r="L141" s="4" t="s">
        <v>36</v>
      </c>
      <c r="M141" s="4" t="s">
        <v>37</v>
      </c>
      <c r="N141" s="4" t="n">
        <v>1</v>
      </c>
      <c r="O141" s="4"/>
    </row>
    <row r="142" customFormat="false" ht="15" hidden="false" customHeight="false" outlineLevel="0" collapsed="false">
      <c r="A142" s="4" t="n">
        <v>12</v>
      </c>
      <c r="B142" s="4" t="s">
        <v>506</v>
      </c>
      <c r="C142" s="4" t="s">
        <v>507</v>
      </c>
      <c r="D142" s="4" t="s">
        <v>508</v>
      </c>
      <c r="E142" s="4" t="s">
        <v>523</v>
      </c>
      <c r="F142" s="4" t="s">
        <v>524</v>
      </c>
      <c r="G142" s="4" t="s">
        <v>55</v>
      </c>
      <c r="H142" s="4" t="s">
        <v>525</v>
      </c>
      <c r="I142" s="4" t="s">
        <v>93</v>
      </c>
      <c r="J142" s="4" t="s">
        <v>526</v>
      </c>
      <c r="K142" s="4" t="s">
        <v>51</v>
      </c>
      <c r="L142" s="4" t="s">
        <v>36</v>
      </c>
      <c r="M142" s="4" t="s">
        <v>37</v>
      </c>
      <c r="N142" s="4" t="n">
        <v>1</v>
      </c>
      <c r="O142" s="4"/>
    </row>
    <row r="143" customFormat="false" ht="15" hidden="false" customHeight="false" outlineLevel="0" collapsed="false">
      <c r="A143" s="4" t="n">
        <v>12</v>
      </c>
      <c r="B143" s="4" t="s">
        <v>506</v>
      </c>
      <c r="C143" s="4" t="s">
        <v>507</v>
      </c>
      <c r="D143" s="4" t="s">
        <v>508</v>
      </c>
      <c r="E143" s="4" t="s">
        <v>527</v>
      </c>
      <c r="F143" s="4" t="s">
        <v>528</v>
      </c>
      <c r="G143" s="4" t="s">
        <v>114</v>
      </c>
      <c r="H143" s="4" t="s">
        <v>529</v>
      </c>
      <c r="I143" s="4" t="s">
        <v>93</v>
      </c>
      <c r="J143" s="4" t="s">
        <v>530</v>
      </c>
      <c r="K143" s="4" t="s">
        <v>102</v>
      </c>
      <c r="L143" s="4" t="s">
        <v>36</v>
      </c>
      <c r="M143" s="4" t="s">
        <v>37</v>
      </c>
      <c r="N143" s="4" t="n">
        <v>1</v>
      </c>
      <c r="O143" s="4" t="s">
        <v>531</v>
      </c>
    </row>
    <row r="144" customFormat="false" ht="15" hidden="false" customHeight="false" outlineLevel="0" collapsed="false">
      <c r="A144" s="4" t="n">
        <v>12</v>
      </c>
      <c r="B144" s="4" t="s">
        <v>506</v>
      </c>
      <c r="C144" s="4" t="s">
        <v>507</v>
      </c>
      <c r="D144" s="4" t="s">
        <v>508</v>
      </c>
      <c r="E144" s="4" t="s">
        <v>532</v>
      </c>
      <c r="F144" s="4" t="s">
        <v>533</v>
      </c>
      <c r="G144" s="4" t="s">
        <v>55</v>
      </c>
      <c r="H144" s="4" t="s">
        <v>534</v>
      </c>
      <c r="I144" s="4" t="s">
        <v>93</v>
      </c>
      <c r="J144" s="4" t="s">
        <v>535</v>
      </c>
      <c r="K144" s="4" t="s">
        <v>51</v>
      </c>
      <c r="L144" s="4" t="s">
        <v>36</v>
      </c>
      <c r="M144" s="4" t="s">
        <v>37</v>
      </c>
      <c r="N144" s="4" t="n">
        <v>1</v>
      </c>
      <c r="O144" s="4" t="s">
        <v>536</v>
      </c>
    </row>
    <row r="145" customFormat="false" ht="15" hidden="false" customHeight="false" outlineLevel="0" collapsed="false">
      <c r="A145" s="4" t="n">
        <v>12</v>
      </c>
      <c r="B145" s="4" t="s">
        <v>506</v>
      </c>
      <c r="C145" s="4" t="s">
        <v>507</v>
      </c>
      <c r="D145" s="4" t="s">
        <v>508</v>
      </c>
      <c r="E145" s="4" t="s">
        <v>537</v>
      </c>
      <c r="F145" s="4" t="s">
        <v>538</v>
      </c>
      <c r="G145" s="4" t="s">
        <v>55</v>
      </c>
      <c r="H145" s="4" t="s">
        <v>539</v>
      </c>
      <c r="I145" s="4" t="s">
        <v>149</v>
      </c>
      <c r="J145" s="4" t="s">
        <v>540</v>
      </c>
      <c r="K145" s="4" t="s">
        <v>102</v>
      </c>
      <c r="L145" s="4" t="s">
        <v>36</v>
      </c>
      <c r="M145" s="4" t="s">
        <v>37</v>
      </c>
      <c r="N145" s="4" t="n">
        <v>1</v>
      </c>
      <c r="O145" s="4"/>
    </row>
    <row r="146" customFormat="false" ht="15" hidden="false" customHeight="false" outlineLevel="0" collapsed="false">
      <c r="A146" s="4" t="n">
        <v>12</v>
      </c>
      <c r="B146" s="4" t="s">
        <v>506</v>
      </c>
      <c r="C146" s="4" t="s">
        <v>507</v>
      </c>
      <c r="D146" s="4" t="s">
        <v>508</v>
      </c>
      <c r="E146" s="4" t="s">
        <v>541</v>
      </c>
      <c r="F146" s="4" t="s">
        <v>542</v>
      </c>
      <c r="G146" s="4" t="s">
        <v>55</v>
      </c>
      <c r="H146" s="4" t="s">
        <v>41</v>
      </c>
      <c r="I146" s="4" t="s">
        <v>149</v>
      </c>
      <c r="J146" s="4" t="s">
        <v>543</v>
      </c>
      <c r="K146" s="4" t="s">
        <v>51</v>
      </c>
      <c r="L146" s="4" t="s">
        <v>36</v>
      </c>
      <c r="M146" s="4" t="s">
        <v>37</v>
      </c>
      <c r="N146" s="4" t="n">
        <v>1</v>
      </c>
      <c r="O146" s="4"/>
    </row>
    <row r="147" customFormat="false" ht="23.85" hidden="false" customHeight="false" outlineLevel="0" collapsed="false">
      <c r="A147" s="4" t="n">
        <v>12</v>
      </c>
      <c r="B147" s="4" t="s">
        <v>506</v>
      </c>
      <c r="C147" s="4" t="s">
        <v>507</v>
      </c>
      <c r="D147" s="4" t="s">
        <v>508</v>
      </c>
      <c r="E147" s="4" t="s">
        <v>438</v>
      </c>
      <c r="F147" s="4" t="s">
        <v>439</v>
      </c>
      <c r="G147" s="4" t="s">
        <v>119</v>
      </c>
      <c r="H147" s="4" t="s">
        <v>440</v>
      </c>
      <c r="I147" s="4" t="s">
        <v>191</v>
      </c>
      <c r="J147" s="4" t="s">
        <v>544</v>
      </c>
      <c r="K147" s="4" t="s">
        <v>51</v>
      </c>
      <c r="L147" s="4" t="s">
        <v>37</v>
      </c>
      <c r="M147" s="4" t="s">
        <v>37</v>
      </c>
      <c r="N147" s="4" t="n">
        <v>3</v>
      </c>
      <c r="O147" s="4" t="s">
        <v>545</v>
      </c>
    </row>
    <row r="148" customFormat="false" ht="23.85" hidden="false" customHeight="false" outlineLevel="0" collapsed="false">
      <c r="A148" s="4" t="n">
        <v>12</v>
      </c>
      <c r="B148" s="4" t="s">
        <v>506</v>
      </c>
      <c r="C148" s="4" t="s">
        <v>507</v>
      </c>
      <c r="D148" s="4" t="s">
        <v>508</v>
      </c>
      <c r="E148" s="4" t="s">
        <v>452</v>
      </c>
      <c r="F148" s="4" t="s">
        <v>453</v>
      </c>
      <c r="G148" s="4" t="s">
        <v>55</v>
      </c>
      <c r="H148" s="4" t="s">
        <v>454</v>
      </c>
      <c r="I148" s="4" t="s">
        <v>191</v>
      </c>
      <c r="J148" s="4" t="s">
        <v>546</v>
      </c>
      <c r="K148" s="4" t="s">
        <v>51</v>
      </c>
      <c r="L148" s="4" t="s">
        <v>37</v>
      </c>
      <c r="M148" s="4" t="s">
        <v>37</v>
      </c>
      <c r="N148" s="4" t="n">
        <v>3</v>
      </c>
      <c r="O148" s="4"/>
    </row>
    <row r="149" customFormat="false" ht="15" hidden="false" customHeight="false" outlineLevel="0" collapsed="false">
      <c r="A149" s="4" t="n">
        <v>12</v>
      </c>
      <c r="B149" s="4" t="s">
        <v>506</v>
      </c>
      <c r="C149" s="4" t="s">
        <v>507</v>
      </c>
      <c r="D149" s="4" t="s">
        <v>508</v>
      </c>
      <c r="E149" s="4" t="s">
        <v>547</v>
      </c>
      <c r="F149" s="4" t="s">
        <v>548</v>
      </c>
      <c r="G149" s="4" t="s">
        <v>119</v>
      </c>
      <c r="H149" s="4" t="s">
        <v>549</v>
      </c>
      <c r="I149" s="4" t="s">
        <v>120</v>
      </c>
      <c r="J149" s="4" t="s">
        <v>550</v>
      </c>
      <c r="K149" s="4" t="s">
        <v>51</v>
      </c>
      <c r="L149" s="4" t="s">
        <v>36</v>
      </c>
      <c r="M149" s="4" t="s">
        <v>37</v>
      </c>
      <c r="N149" s="4" t="n">
        <v>1</v>
      </c>
      <c r="O149" s="4"/>
    </row>
    <row r="150" customFormat="false" ht="15" hidden="false" customHeight="false" outlineLevel="0" collapsed="false">
      <c r="A150" s="4" t="n">
        <v>12</v>
      </c>
      <c r="B150" s="4" t="s">
        <v>506</v>
      </c>
      <c r="C150" s="4" t="s">
        <v>507</v>
      </c>
      <c r="D150" s="4" t="s">
        <v>508</v>
      </c>
      <c r="E150" s="4" t="s">
        <v>551</v>
      </c>
      <c r="F150" s="4" t="s">
        <v>552</v>
      </c>
      <c r="G150" s="4" t="s">
        <v>119</v>
      </c>
      <c r="H150" s="4" t="s">
        <v>553</v>
      </c>
      <c r="I150" s="4" t="s">
        <v>120</v>
      </c>
      <c r="J150" s="4" t="s">
        <v>554</v>
      </c>
      <c r="K150" s="4" t="s">
        <v>102</v>
      </c>
      <c r="L150" s="4" t="s">
        <v>36</v>
      </c>
      <c r="M150" s="4" t="s">
        <v>37</v>
      </c>
      <c r="N150" s="4" t="n">
        <v>1</v>
      </c>
      <c r="O150" s="4"/>
    </row>
    <row r="151" customFormat="false" ht="23.85" hidden="false" customHeight="false" outlineLevel="0" collapsed="false">
      <c r="A151" s="4" t="n">
        <v>12</v>
      </c>
      <c r="B151" s="4" t="s">
        <v>506</v>
      </c>
      <c r="C151" s="4" t="s">
        <v>507</v>
      </c>
      <c r="D151" s="4" t="s">
        <v>508</v>
      </c>
      <c r="E151" s="4" t="s">
        <v>555</v>
      </c>
      <c r="F151" s="4" t="s">
        <v>556</v>
      </c>
      <c r="G151" s="4" t="s">
        <v>119</v>
      </c>
      <c r="H151" s="4" t="s">
        <v>557</v>
      </c>
      <c r="I151" s="4" t="s">
        <v>120</v>
      </c>
      <c r="J151" s="4" t="s">
        <v>554</v>
      </c>
      <c r="K151" s="4" t="s">
        <v>102</v>
      </c>
      <c r="L151" s="4" t="s">
        <v>36</v>
      </c>
      <c r="M151" s="4" t="s">
        <v>37</v>
      </c>
      <c r="N151" s="4" t="n">
        <v>1</v>
      </c>
      <c r="O151" s="4"/>
    </row>
    <row r="152" customFormat="false" ht="15" hidden="false" customHeight="false" outlineLevel="0" collapsed="false">
      <c r="A152" s="4" t="n">
        <v>12</v>
      </c>
      <c r="B152" s="4" t="s">
        <v>506</v>
      </c>
      <c r="C152" s="4" t="s">
        <v>507</v>
      </c>
      <c r="D152" s="4" t="s">
        <v>508</v>
      </c>
      <c r="E152" s="4" t="s">
        <v>558</v>
      </c>
      <c r="F152" s="4" t="s">
        <v>559</v>
      </c>
      <c r="G152" s="4" t="s">
        <v>176</v>
      </c>
      <c r="H152" s="4" t="s">
        <v>560</v>
      </c>
      <c r="I152" s="4" t="s">
        <v>120</v>
      </c>
      <c r="J152" s="4" t="s">
        <v>554</v>
      </c>
      <c r="K152" s="4" t="s">
        <v>102</v>
      </c>
      <c r="L152" s="4" t="s">
        <v>36</v>
      </c>
      <c r="M152" s="4" t="s">
        <v>37</v>
      </c>
      <c r="N152" s="4" t="n">
        <v>1</v>
      </c>
      <c r="O152" s="4" t="s">
        <v>253</v>
      </c>
    </row>
    <row r="153" customFormat="false" ht="15" hidden="false" customHeight="false" outlineLevel="0" collapsed="false">
      <c r="A153" s="4" t="n">
        <v>13</v>
      </c>
      <c r="B153" s="4" t="s">
        <v>561</v>
      </c>
      <c r="C153" s="4" t="s">
        <v>562</v>
      </c>
      <c r="D153" s="4" t="s">
        <v>563</v>
      </c>
      <c r="E153" s="4" t="s">
        <v>564</v>
      </c>
      <c r="F153" s="4" t="s">
        <v>565</v>
      </c>
      <c r="G153" s="4" t="s">
        <v>55</v>
      </c>
      <c r="H153" s="4" t="s">
        <v>566</v>
      </c>
      <c r="I153" s="4" t="s">
        <v>93</v>
      </c>
      <c r="J153" s="4" t="s">
        <v>567</v>
      </c>
      <c r="K153" s="4" t="s">
        <v>51</v>
      </c>
      <c r="L153" s="4" t="s">
        <v>36</v>
      </c>
      <c r="M153" s="4" t="s">
        <v>37</v>
      </c>
      <c r="N153" s="4" t="n">
        <v>2</v>
      </c>
      <c r="O153" s="4" t="s">
        <v>568</v>
      </c>
    </row>
    <row r="154" customFormat="false" ht="15" hidden="false" customHeight="false" outlineLevel="0" collapsed="false">
      <c r="A154" s="4" t="n">
        <v>13</v>
      </c>
      <c r="B154" s="4" t="s">
        <v>561</v>
      </c>
      <c r="C154" s="4" t="s">
        <v>562</v>
      </c>
      <c r="D154" s="4" t="s">
        <v>563</v>
      </c>
      <c r="E154" s="4" t="s">
        <v>569</v>
      </c>
      <c r="F154" s="4" t="s">
        <v>570</v>
      </c>
      <c r="G154" s="4" t="s">
        <v>55</v>
      </c>
      <c r="H154" s="4" t="s">
        <v>41</v>
      </c>
      <c r="I154" s="4" t="s">
        <v>93</v>
      </c>
      <c r="J154" s="4" t="s">
        <v>571</v>
      </c>
      <c r="K154" s="4" t="s">
        <v>51</v>
      </c>
      <c r="L154" s="4" t="s">
        <v>36</v>
      </c>
      <c r="M154" s="4" t="s">
        <v>37</v>
      </c>
      <c r="N154" s="4" t="n">
        <v>2</v>
      </c>
      <c r="O154" s="4"/>
    </row>
    <row r="155" customFormat="false" ht="15" hidden="false" customHeight="false" outlineLevel="0" collapsed="false">
      <c r="A155" s="4" t="n">
        <v>13</v>
      </c>
      <c r="B155" s="4" t="s">
        <v>561</v>
      </c>
      <c r="C155" s="4" t="s">
        <v>562</v>
      </c>
      <c r="D155" s="4" t="s">
        <v>563</v>
      </c>
      <c r="E155" s="4" t="s">
        <v>572</v>
      </c>
      <c r="F155" s="4" t="s">
        <v>573</v>
      </c>
      <c r="G155" s="4" t="s">
        <v>55</v>
      </c>
      <c r="H155" s="4" t="s">
        <v>574</v>
      </c>
      <c r="I155" s="4" t="s">
        <v>93</v>
      </c>
      <c r="J155" s="4" t="s">
        <v>575</v>
      </c>
      <c r="K155" s="4" t="s">
        <v>51</v>
      </c>
      <c r="L155" s="4" t="s">
        <v>36</v>
      </c>
      <c r="M155" s="4" t="s">
        <v>37</v>
      </c>
      <c r="N155" s="4" t="n">
        <v>2</v>
      </c>
      <c r="O155" s="4" t="s">
        <v>576</v>
      </c>
    </row>
    <row r="156" customFormat="false" ht="15" hidden="false" customHeight="false" outlineLevel="0" collapsed="false">
      <c r="A156" s="4" t="n">
        <v>13</v>
      </c>
      <c r="B156" s="4" t="s">
        <v>561</v>
      </c>
      <c r="C156" s="4" t="s">
        <v>562</v>
      </c>
      <c r="D156" s="4" t="s">
        <v>563</v>
      </c>
      <c r="E156" s="4" t="s">
        <v>577</v>
      </c>
      <c r="F156" s="4" t="s">
        <v>578</v>
      </c>
      <c r="G156" s="4" t="s">
        <v>55</v>
      </c>
      <c r="H156" s="4" t="s">
        <v>579</v>
      </c>
      <c r="I156" s="4" t="s">
        <v>93</v>
      </c>
      <c r="J156" s="4" t="s">
        <v>580</v>
      </c>
      <c r="K156" s="4" t="s">
        <v>51</v>
      </c>
      <c r="L156" s="4" t="s">
        <v>36</v>
      </c>
      <c r="M156" s="4" t="s">
        <v>37</v>
      </c>
      <c r="N156" s="4" t="n">
        <v>2</v>
      </c>
      <c r="O156" s="4" t="s">
        <v>581</v>
      </c>
    </row>
    <row r="157" customFormat="false" ht="15" hidden="false" customHeight="false" outlineLevel="0" collapsed="false">
      <c r="A157" s="4" t="n">
        <v>13</v>
      </c>
      <c r="B157" s="4" t="s">
        <v>561</v>
      </c>
      <c r="C157" s="4" t="s">
        <v>562</v>
      </c>
      <c r="D157" s="4" t="s">
        <v>563</v>
      </c>
      <c r="E157" s="4" t="s">
        <v>582</v>
      </c>
      <c r="F157" s="4" t="s">
        <v>583</v>
      </c>
      <c r="G157" s="4" t="s">
        <v>114</v>
      </c>
      <c r="H157" s="4" t="s">
        <v>584</v>
      </c>
      <c r="I157" s="4" t="s">
        <v>93</v>
      </c>
      <c r="J157" s="4" t="s">
        <v>585</v>
      </c>
      <c r="K157" s="4" t="s">
        <v>102</v>
      </c>
      <c r="L157" s="4" t="s">
        <v>36</v>
      </c>
      <c r="M157" s="4" t="s">
        <v>37</v>
      </c>
      <c r="N157" s="4" t="n">
        <v>1</v>
      </c>
      <c r="O157" s="4" t="s">
        <v>586</v>
      </c>
    </row>
    <row r="158" customFormat="false" ht="15" hidden="false" customHeight="false" outlineLevel="0" collapsed="false">
      <c r="A158" s="4" t="n">
        <v>13</v>
      </c>
      <c r="B158" s="4" t="s">
        <v>561</v>
      </c>
      <c r="C158" s="4" t="s">
        <v>562</v>
      </c>
      <c r="D158" s="4" t="s">
        <v>563</v>
      </c>
      <c r="E158" s="4" t="s">
        <v>587</v>
      </c>
      <c r="F158" s="4" t="s">
        <v>588</v>
      </c>
      <c r="G158" s="4" t="s">
        <v>55</v>
      </c>
      <c r="H158" s="4" t="s">
        <v>589</v>
      </c>
      <c r="I158" s="4" t="s">
        <v>149</v>
      </c>
      <c r="J158" s="4" t="s">
        <v>590</v>
      </c>
      <c r="K158" s="4" t="s">
        <v>102</v>
      </c>
      <c r="L158" s="4" t="s">
        <v>36</v>
      </c>
      <c r="M158" s="4" t="s">
        <v>37</v>
      </c>
      <c r="N158" s="4" t="n">
        <v>1</v>
      </c>
      <c r="O158" s="4"/>
    </row>
    <row r="159" customFormat="false" ht="15" hidden="false" customHeight="false" outlineLevel="0" collapsed="false">
      <c r="A159" s="4" t="n">
        <v>13</v>
      </c>
      <c r="B159" s="4" t="s">
        <v>561</v>
      </c>
      <c r="C159" s="4" t="s">
        <v>562</v>
      </c>
      <c r="D159" s="4" t="s">
        <v>563</v>
      </c>
      <c r="E159" s="4" t="s">
        <v>591</v>
      </c>
      <c r="F159" s="4" t="s">
        <v>592</v>
      </c>
      <c r="G159" s="4" t="s">
        <v>55</v>
      </c>
      <c r="H159" s="4" t="s">
        <v>41</v>
      </c>
      <c r="I159" s="4" t="s">
        <v>149</v>
      </c>
      <c r="J159" s="4" t="s">
        <v>593</v>
      </c>
      <c r="K159" s="4" t="s">
        <v>51</v>
      </c>
      <c r="L159" s="4" t="s">
        <v>36</v>
      </c>
      <c r="M159" s="4" t="s">
        <v>37</v>
      </c>
      <c r="N159" s="4" t="n">
        <v>1</v>
      </c>
      <c r="O159" s="4"/>
    </row>
    <row r="160" customFormat="false" ht="15" hidden="false" customHeight="false" outlineLevel="0" collapsed="false">
      <c r="A160" s="4" t="n">
        <v>13</v>
      </c>
      <c r="B160" s="4" t="s">
        <v>561</v>
      </c>
      <c r="C160" s="4" t="s">
        <v>562</v>
      </c>
      <c r="D160" s="4" t="s">
        <v>563</v>
      </c>
      <c r="E160" s="4" t="s">
        <v>594</v>
      </c>
      <c r="F160" s="4" t="s">
        <v>595</v>
      </c>
      <c r="G160" s="4" t="s">
        <v>55</v>
      </c>
      <c r="H160" s="4" t="s">
        <v>41</v>
      </c>
      <c r="I160" s="4" t="s">
        <v>149</v>
      </c>
      <c r="J160" s="4" t="s">
        <v>596</v>
      </c>
      <c r="K160" s="4" t="s">
        <v>51</v>
      </c>
      <c r="L160" s="4" t="s">
        <v>36</v>
      </c>
      <c r="M160" s="4" t="s">
        <v>37</v>
      </c>
      <c r="N160" s="4" t="n">
        <v>1</v>
      </c>
      <c r="O160" s="4"/>
    </row>
    <row r="161" customFormat="false" ht="15" hidden="false" customHeight="false" outlineLevel="0" collapsed="false">
      <c r="A161" s="4" t="n">
        <v>13</v>
      </c>
      <c r="B161" s="4" t="s">
        <v>561</v>
      </c>
      <c r="C161" s="4" t="s">
        <v>562</v>
      </c>
      <c r="D161" s="4" t="s">
        <v>563</v>
      </c>
      <c r="E161" s="4" t="s">
        <v>597</v>
      </c>
      <c r="F161" s="4" t="s">
        <v>598</v>
      </c>
      <c r="G161" s="4" t="s">
        <v>55</v>
      </c>
      <c r="H161" s="4" t="s">
        <v>599</v>
      </c>
      <c r="I161" s="4" t="s">
        <v>149</v>
      </c>
      <c r="J161" s="4" t="s">
        <v>600</v>
      </c>
      <c r="K161" s="4" t="s">
        <v>102</v>
      </c>
      <c r="L161" s="4" t="s">
        <v>36</v>
      </c>
      <c r="M161" s="4" t="s">
        <v>37</v>
      </c>
      <c r="N161" s="4" t="n">
        <v>1</v>
      </c>
      <c r="O161" s="4"/>
    </row>
    <row r="162" customFormat="false" ht="23.85" hidden="false" customHeight="false" outlineLevel="0" collapsed="false">
      <c r="A162" s="4" t="n">
        <v>13</v>
      </c>
      <c r="B162" s="4" t="s">
        <v>561</v>
      </c>
      <c r="C162" s="4" t="s">
        <v>562</v>
      </c>
      <c r="D162" s="4" t="s">
        <v>563</v>
      </c>
      <c r="E162" s="4" t="s">
        <v>601</v>
      </c>
      <c r="F162" s="4" t="s">
        <v>602</v>
      </c>
      <c r="G162" s="4" t="s">
        <v>55</v>
      </c>
      <c r="H162" s="4" t="s">
        <v>603</v>
      </c>
      <c r="I162" s="4" t="s">
        <v>149</v>
      </c>
      <c r="J162" s="4" t="s">
        <v>604</v>
      </c>
      <c r="K162" s="4" t="s">
        <v>102</v>
      </c>
      <c r="L162" s="4" t="s">
        <v>36</v>
      </c>
      <c r="M162" s="4" t="s">
        <v>36</v>
      </c>
      <c r="N162" s="4" t="n">
        <v>1</v>
      </c>
      <c r="O162" s="4" t="s">
        <v>605</v>
      </c>
    </row>
    <row r="163" customFormat="false" ht="15" hidden="false" customHeight="false" outlineLevel="0" collapsed="false">
      <c r="A163" s="4" t="n">
        <v>13</v>
      </c>
      <c r="B163" s="4" t="s">
        <v>561</v>
      </c>
      <c r="C163" s="4" t="s">
        <v>562</v>
      </c>
      <c r="D163" s="4" t="s">
        <v>563</v>
      </c>
      <c r="E163" s="4" t="s">
        <v>62</v>
      </c>
      <c r="F163" s="4" t="s">
        <v>63</v>
      </c>
      <c r="G163" s="4" t="s">
        <v>31</v>
      </c>
      <c r="H163" s="4" t="s">
        <v>64</v>
      </c>
      <c r="I163" s="4" t="s">
        <v>33</v>
      </c>
      <c r="J163" s="4" t="s">
        <v>606</v>
      </c>
      <c r="K163" s="4" t="s">
        <v>51</v>
      </c>
      <c r="L163" s="4" t="s">
        <v>37</v>
      </c>
      <c r="M163" s="4" t="s">
        <v>37</v>
      </c>
      <c r="N163" s="4" t="n">
        <v>4</v>
      </c>
      <c r="O163" s="4"/>
    </row>
    <row r="164" customFormat="false" ht="15" hidden="false" customHeight="false" outlineLevel="0" collapsed="false">
      <c r="A164" s="4" t="n">
        <v>13</v>
      </c>
      <c r="B164" s="4" t="s">
        <v>561</v>
      </c>
      <c r="C164" s="4" t="s">
        <v>562</v>
      </c>
      <c r="D164" s="4" t="s">
        <v>563</v>
      </c>
      <c r="E164" s="4" t="s">
        <v>99</v>
      </c>
      <c r="F164" s="4" t="s">
        <v>100</v>
      </c>
      <c r="G164" s="4" t="s">
        <v>31</v>
      </c>
      <c r="H164" s="4" t="s">
        <v>101</v>
      </c>
      <c r="I164" s="4" t="s">
        <v>33</v>
      </c>
      <c r="J164" s="4" t="s">
        <v>606</v>
      </c>
      <c r="K164" s="4" t="s">
        <v>102</v>
      </c>
      <c r="L164" s="4" t="s">
        <v>37</v>
      </c>
      <c r="M164" s="4" t="s">
        <v>37</v>
      </c>
      <c r="N164" s="4" t="n">
        <v>2</v>
      </c>
      <c r="O164" s="4"/>
    </row>
    <row r="165" customFormat="false" ht="15" hidden="false" customHeight="false" outlineLevel="0" collapsed="false">
      <c r="A165" s="4" t="n">
        <v>13</v>
      </c>
      <c r="B165" s="4" t="s">
        <v>561</v>
      </c>
      <c r="C165" s="4" t="s">
        <v>562</v>
      </c>
      <c r="D165" s="4" t="s">
        <v>563</v>
      </c>
      <c r="E165" s="4" t="s">
        <v>607</v>
      </c>
      <c r="F165" s="4" t="s">
        <v>608</v>
      </c>
      <c r="G165" s="4" t="s">
        <v>119</v>
      </c>
      <c r="H165" s="4" t="s">
        <v>609</v>
      </c>
      <c r="I165" s="4" t="s">
        <v>120</v>
      </c>
      <c r="J165" s="4" t="s">
        <v>610</v>
      </c>
      <c r="K165" s="4" t="s">
        <v>51</v>
      </c>
      <c r="L165" s="4" t="s">
        <v>36</v>
      </c>
      <c r="M165" s="4" t="s">
        <v>37</v>
      </c>
      <c r="N165" s="4" t="n">
        <v>4</v>
      </c>
      <c r="O165" s="4"/>
    </row>
    <row r="166" customFormat="false" ht="15" hidden="false" customHeight="false" outlineLevel="0" collapsed="false">
      <c r="A166" s="4" t="n">
        <v>13</v>
      </c>
      <c r="B166" s="4" t="s">
        <v>561</v>
      </c>
      <c r="C166" s="4" t="s">
        <v>562</v>
      </c>
      <c r="D166" s="4" t="s">
        <v>563</v>
      </c>
      <c r="E166" s="4" t="s">
        <v>611</v>
      </c>
      <c r="F166" s="4" t="s">
        <v>612</v>
      </c>
      <c r="G166" s="4" t="s">
        <v>119</v>
      </c>
      <c r="H166" s="4" t="s">
        <v>613</v>
      </c>
      <c r="I166" s="4" t="s">
        <v>120</v>
      </c>
      <c r="J166" s="4" t="s">
        <v>614</v>
      </c>
      <c r="K166" s="4" t="s">
        <v>51</v>
      </c>
      <c r="L166" s="4" t="s">
        <v>36</v>
      </c>
      <c r="M166" s="4" t="s">
        <v>37</v>
      </c>
      <c r="N166" s="4" t="n">
        <v>2</v>
      </c>
      <c r="O166" s="4"/>
    </row>
    <row r="167" customFormat="false" ht="23.85" hidden="false" customHeight="false" outlineLevel="0" collapsed="false">
      <c r="A167" s="4" t="n">
        <v>14</v>
      </c>
      <c r="B167" s="4" t="s">
        <v>615</v>
      </c>
      <c r="C167" s="4" t="s">
        <v>616</v>
      </c>
      <c r="D167" s="4" t="s">
        <v>617</v>
      </c>
      <c r="E167" s="4" t="s">
        <v>618</v>
      </c>
      <c r="F167" s="4" t="s">
        <v>619</v>
      </c>
      <c r="G167" s="4" t="s">
        <v>114</v>
      </c>
      <c r="H167" s="4" t="s">
        <v>620</v>
      </c>
      <c r="I167" s="4" t="s">
        <v>184</v>
      </c>
      <c r="J167" s="4" t="s">
        <v>621</v>
      </c>
      <c r="K167" s="4" t="s">
        <v>102</v>
      </c>
      <c r="L167" s="4" t="s">
        <v>36</v>
      </c>
      <c r="M167" s="4" t="s">
        <v>37</v>
      </c>
      <c r="N167" s="4" t="n">
        <v>1</v>
      </c>
      <c r="O167" s="4" t="s">
        <v>622</v>
      </c>
    </row>
    <row r="168" customFormat="false" ht="15" hidden="false" customHeight="false" outlineLevel="0" collapsed="false">
      <c r="A168" s="4" t="n">
        <v>14</v>
      </c>
      <c r="B168" s="4" t="s">
        <v>615</v>
      </c>
      <c r="C168" s="4" t="s">
        <v>616</v>
      </c>
      <c r="D168" s="4" t="s">
        <v>617</v>
      </c>
      <c r="E168" s="4" t="s">
        <v>623</v>
      </c>
      <c r="F168" s="4" t="s">
        <v>624</v>
      </c>
      <c r="G168" s="4" t="s">
        <v>55</v>
      </c>
      <c r="H168" s="4" t="s">
        <v>468</v>
      </c>
      <c r="I168" s="4" t="s">
        <v>184</v>
      </c>
      <c r="J168" s="4" t="s">
        <v>625</v>
      </c>
      <c r="K168" s="4" t="s">
        <v>51</v>
      </c>
      <c r="L168" s="4" t="s">
        <v>36</v>
      </c>
      <c r="M168" s="4" t="s">
        <v>37</v>
      </c>
      <c r="N168" s="4" t="n">
        <v>1</v>
      </c>
      <c r="O168" s="4" t="s">
        <v>626</v>
      </c>
    </row>
    <row r="169" customFormat="false" ht="15" hidden="false" customHeight="false" outlineLevel="0" collapsed="false">
      <c r="A169" s="4" t="n">
        <v>14</v>
      </c>
      <c r="B169" s="4" t="s">
        <v>615</v>
      </c>
      <c r="C169" s="4" t="s">
        <v>616</v>
      </c>
      <c r="D169" s="4" t="s">
        <v>617</v>
      </c>
      <c r="E169" s="4" t="s">
        <v>627</v>
      </c>
      <c r="F169" s="4" t="s">
        <v>628</v>
      </c>
      <c r="G169" s="4" t="s">
        <v>119</v>
      </c>
      <c r="H169" s="4" t="s">
        <v>629</v>
      </c>
      <c r="I169" s="4" t="s">
        <v>184</v>
      </c>
      <c r="J169" s="4" t="s">
        <v>630</v>
      </c>
      <c r="K169" s="4" t="s">
        <v>51</v>
      </c>
      <c r="L169" s="4" t="s">
        <v>36</v>
      </c>
      <c r="M169" s="4" t="s">
        <v>37</v>
      </c>
      <c r="N169" s="4" t="n">
        <v>1</v>
      </c>
      <c r="O169" s="4" t="s">
        <v>631</v>
      </c>
    </row>
    <row r="170" customFormat="false" ht="15" hidden="false" customHeight="false" outlineLevel="0" collapsed="false">
      <c r="A170" s="4" t="n">
        <v>14</v>
      </c>
      <c r="B170" s="4" t="s">
        <v>615</v>
      </c>
      <c r="C170" s="4" t="s">
        <v>616</v>
      </c>
      <c r="D170" s="4" t="s">
        <v>617</v>
      </c>
      <c r="E170" s="4" t="s">
        <v>632</v>
      </c>
      <c r="F170" s="4" t="s">
        <v>633</v>
      </c>
      <c r="G170" s="4" t="s">
        <v>55</v>
      </c>
      <c r="H170" s="4" t="s">
        <v>634</v>
      </c>
      <c r="I170" s="4" t="s">
        <v>184</v>
      </c>
      <c r="J170" s="4" t="s">
        <v>635</v>
      </c>
      <c r="K170" s="4" t="s">
        <v>51</v>
      </c>
      <c r="L170" s="4" t="s">
        <v>36</v>
      </c>
      <c r="M170" s="4" t="s">
        <v>37</v>
      </c>
      <c r="N170" s="4" t="n">
        <v>1</v>
      </c>
      <c r="O170" s="4" t="s">
        <v>636</v>
      </c>
    </row>
    <row r="171" customFormat="false" ht="23.85" hidden="false" customHeight="false" outlineLevel="0" collapsed="false">
      <c r="A171" s="4" t="n">
        <v>14</v>
      </c>
      <c r="B171" s="4" t="s">
        <v>615</v>
      </c>
      <c r="C171" s="4" t="s">
        <v>616</v>
      </c>
      <c r="D171" s="4" t="s">
        <v>617</v>
      </c>
      <c r="E171" s="4" t="s">
        <v>569</v>
      </c>
      <c r="F171" s="4" t="s">
        <v>570</v>
      </c>
      <c r="G171" s="4" t="s">
        <v>55</v>
      </c>
      <c r="H171" s="4" t="s">
        <v>41</v>
      </c>
      <c r="I171" s="4" t="s">
        <v>191</v>
      </c>
      <c r="J171" s="4" t="s">
        <v>637</v>
      </c>
      <c r="K171" s="4" t="s">
        <v>51</v>
      </c>
      <c r="L171" s="4" t="s">
        <v>37</v>
      </c>
      <c r="M171" s="4" t="s">
        <v>37</v>
      </c>
      <c r="N171" s="4" t="n">
        <v>2</v>
      </c>
      <c r="O171" s="4"/>
    </row>
    <row r="172" customFormat="false" ht="23.85" hidden="false" customHeight="false" outlineLevel="0" collapsed="false">
      <c r="A172" s="4" t="n">
        <v>14</v>
      </c>
      <c r="B172" s="4" t="s">
        <v>615</v>
      </c>
      <c r="C172" s="4" t="s">
        <v>616</v>
      </c>
      <c r="D172" s="4" t="s">
        <v>617</v>
      </c>
      <c r="E172" s="4" t="s">
        <v>564</v>
      </c>
      <c r="F172" s="4" t="s">
        <v>565</v>
      </c>
      <c r="G172" s="4" t="s">
        <v>55</v>
      </c>
      <c r="H172" s="4" t="s">
        <v>566</v>
      </c>
      <c r="I172" s="4" t="s">
        <v>191</v>
      </c>
      <c r="J172" s="4" t="s">
        <v>625</v>
      </c>
      <c r="K172" s="4" t="s">
        <v>51</v>
      </c>
      <c r="L172" s="4" t="s">
        <v>37</v>
      </c>
      <c r="M172" s="4" t="s">
        <v>37</v>
      </c>
      <c r="N172" s="4" t="n">
        <v>2</v>
      </c>
      <c r="O172" s="4"/>
    </row>
    <row r="173" customFormat="false" ht="23.85" hidden="false" customHeight="false" outlineLevel="0" collapsed="false">
      <c r="A173" s="4" t="n">
        <v>14</v>
      </c>
      <c r="B173" s="4" t="s">
        <v>615</v>
      </c>
      <c r="C173" s="4" t="s">
        <v>616</v>
      </c>
      <c r="D173" s="4" t="s">
        <v>617</v>
      </c>
      <c r="E173" s="4" t="s">
        <v>607</v>
      </c>
      <c r="F173" s="4" t="s">
        <v>608</v>
      </c>
      <c r="G173" s="4" t="s">
        <v>119</v>
      </c>
      <c r="H173" s="4" t="s">
        <v>609</v>
      </c>
      <c r="I173" s="4" t="s">
        <v>191</v>
      </c>
      <c r="J173" s="4" t="s">
        <v>630</v>
      </c>
      <c r="K173" s="4" t="s">
        <v>51</v>
      </c>
      <c r="L173" s="4" t="s">
        <v>37</v>
      </c>
      <c r="M173" s="4" t="s">
        <v>37</v>
      </c>
      <c r="N173" s="4" t="n">
        <v>4</v>
      </c>
      <c r="O173" s="4"/>
    </row>
    <row r="174" customFormat="false" ht="23.85" hidden="false" customHeight="false" outlineLevel="0" collapsed="false">
      <c r="A174" s="4" t="n">
        <v>14</v>
      </c>
      <c r="B174" s="4" t="s">
        <v>615</v>
      </c>
      <c r="C174" s="4" t="s">
        <v>616</v>
      </c>
      <c r="D174" s="4" t="s">
        <v>617</v>
      </c>
      <c r="E174" s="4" t="s">
        <v>572</v>
      </c>
      <c r="F174" s="4" t="s">
        <v>573</v>
      </c>
      <c r="G174" s="4" t="s">
        <v>55</v>
      </c>
      <c r="H174" s="4" t="s">
        <v>574</v>
      </c>
      <c r="I174" s="4" t="s">
        <v>191</v>
      </c>
      <c r="J174" s="4" t="s">
        <v>638</v>
      </c>
      <c r="K174" s="4" t="s">
        <v>51</v>
      </c>
      <c r="L174" s="4" t="s">
        <v>37</v>
      </c>
      <c r="M174" s="4" t="s">
        <v>37</v>
      </c>
      <c r="N174" s="4" t="n">
        <v>2</v>
      </c>
      <c r="O174" s="4"/>
    </row>
    <row r="175" customFormat="false" ht="23.85" hidden="false" customHeight="false" outlineLevel="0" collapsed="false">
      <c r="A175" s="4" t="n">
        <v>14</v>
      </c>
      <c r="B175" s="4" t="s">
        <v>615</v>
      </c>
      <c r="C175" s="4" t="s">
        <v>616</v>
      </c>
      <c r="D175" s="4" t="s">
        <v>617</v>
      </c>
      <c r="E175" s="4" t="s">
        <v>577</v>
      </c>
      <c r="F175" s="4" t="s">
        <v>578</v>
      </c>
      <c r="G175" s="4" t="s">
        <v>55</v>
      </c>
      <c r="H175" s="4" t="s">
        <v>579</v>
      </c>
      <c r="I175" s="4" t="s">
        <v>191</v>
      </c>
      <c r="J175" s="4" t="s">
        <v>630</v>
      </c>
      <c r="K175" s="4" t="s">
        <v>639</v>
      </c>
      <c r="L175" s="4" t="s">
        <v>37</v>
      </c>
      <c r="M175" s="4" t="s">
        <v>37</v>
      </c>
      <c r="N175" s="4" t="n">
        <v>2</v>
      </c>
      <c r="O175" s="4"/>
    </row>
    <row r="176" customFormat="false" ht="15" hidden="false" customHeight="false" outlineLevel="0" collapsed="false">
      <c r="A176" s="4" t="n">
        <v>15</v>
      </c>
      <c r="B176" s="4" t="s">
        <v>640</v>
      </c>
      <c r="C176" s="4" t="s">
        <v>641</v>
      </c>
      <c r="D176" s="4" t="s">
        <v>642</v>
      </c>
      <c r="E176" s="4" t="s">
        <v>643</v>
      </c>
      <c r="F176" s="4" t="s">
        <v>644</v>
      </c>
      <c r="G176" s="4" t="s">
        <v>55</v>
      </c>
      <c r="H176" s="4" t="s">
        <v>645</v>
      </c>
      <c r="I176" s="4" t="s">
        <v>93</v>
      </c>
      <c r="J176" s="4" t="s">
        <v>646</v>
      </c>
      <c r="K176" s="4" t="s">
        <v>102</v>
      </c>
      <c r="L176" s="4" t="s">
        <v>36</v>
      </c>
      <c r="M176" s="4" t="s">
        <v>37</v>
      </c>
      <c r="N176" s="4" t="n">
        <v>2</v>
      </c>
      <c r="O176" s="4" t="s">
        <v>647</v>
      </c>
    </row>
    <row r="177" customFormat="false" ht="15" hidden="false" customHeight="false" outlineLevel="0" collapsed="false">
      <c r="A177" s="4" t="n">
        <v>15</v>
      </c>
      <c r="B177" s="4" t="s">
        <v>640</v>
      </c>
      <c r="C177" s="4" t="s">
        <v>641</v>
      </c>
      <c r="D177" s="4" t="s">
        <v>642</v>
      </c>
      <c r="E177" s="4" t="s">
        <v>648</v>
      </c>
      <c r="F177" s="4" t="s">
        <v>649</v>
      </c>
      <c r="G177" s="4" t="s">
        <v>114</v>
      </c>
      <c r="H177" s="4" t="s">
        <v>645</v>
      </c>
      <c r="I177" s="4" t="s">
        <v>93</v>
      </c>
      <c r="J177" s="4" t="s">
        <v>650</v>
      </c>
      <c r="K177" s="4" t="s">
        <v>102</v>
      </c>
      <c r="L177" s="4" t="s">
        <v>36</v>
      </c>
      <c r="M177" s="4" t="s">
        <v>37</v>
      </c>
      <c r="N177" s="4" t="n">
        <v>2</v>
      </c>
      <c r="O177" s="4"/>
    </row>
    <row r="178" customFormat="false" ht="15" hidden="false" customHeight="false" outlineLevel="0" collapsed="false">
      <c r="A178" s="4" t="n">
        <v>15</v>
      </c>
      <c r="B178" s="4" t="s">
        <v>640</v>
      </c>
      <c r="C178" s="4" t="s">
        <v>641</v>
      </c>
      <c r="D178" s="4" t="s">
        <v>642</v>
      </c>
      <c r="E178" s="4" t="s">
        <v>651</v>
      </c>
      <c r="F178" s="4" t="s">
        <v>652</v>
      </c>
      <c r="G178" s="4" t="s">
        <v>55</v>
      </c>
      <c r="H178" s="4" t="s">
        <v>653</v>
      </c>
      <c r="I178" s="4" t="s">
        <v>93</v>
      </c>
      <c r="J178" s="4" t="s">
        <v>654</v>
      </c>
      <c r="K178" s="4" t="s">
        <v>655</v>
      </c>
      <c r="L178" s="4" t="s">
        <v>36</v>
      </c>
      <c r="M178" s="4" t="s">
        <v>37</v>
      </c>
      <c r="N178" s="4" t="n">
        <v>2</v>
      </c>
      <c r="O178" s="4" t="s">
        <v>656</v>
      </c>
    </row>
    <row r="179" customFormat="false" ht="15" hidden="false" customHeight="false" outlineLevel="0" collapsed="false">
      <c r="A179" s="4" t="n">
        <v>15</v>
      </c>
      <c r="B179" s="4" t="s">
        <v>640</v>
      </c>
      <c r="C179" s="4" t="s">
        <v>641</v>
      </c>
      <c r="D179" s="4" t="s">
        <v>642</v>
      </c>
      <c r="E179" s="4" t="s">
        <v>657</v>
      </c>
      <c r="F179" s="4" t="s">
        <v>658</v>
      </c>
      <c r="G179" s="4" t="s">
        <v>55</v>
      </c>
      <c r="H179" s="4" t="s">
        <v>659</v>
      </c>
      <c r="I179" s="4" t="s">
        <v>93</v>
      </c>
      <c r="J179" s="4" t="s">
        <v>660</v>
      </c>
      <c r="K179" s="4" t="s">
        <v>51</v>
      </c>
      <c r="L179" s="4" t="s">
        <v>36</v>
      </c>
      <c r="M179" s="4" t="s">
        <v>37</v>
      </c>
      <c r="N179" s="4" t="n">
        <v>2</v>
      </c>
      <c r="O179" s="4" t="s">
        <v>661</v>
      </c>
    </row>
    <row r="180" customFormat="false" ht="15" hidden="false" customHeight="false" outlineLevel="0" collapsed="false">
      <c r="A180" s="4" t="n">
        <v>15</v>
      </c>
      <c r="B180" s="4" t="s">
        <v>640</v>
      </c>
      <c r="C180" s="4" t="s">
        <v>641</v>
      </c>
      <c r="D180" s="4" t="s">
        <v>642</v>
      </c>
      <c r="E180" s="4" t="s">
        <v>662</v>
      </c>
      <c r="F180" s="4" t="s">
        <v>663</v>
      </c>
      <c r="G180" s="4" t="s">
        <v>55</v>
      </c>
      <c r="H180" s="4" t="s">
        <v>664</v>
      </c>
      <c r="I180" s="4" t="s">
        <v>93</v>
      </c>
      <c r="J180" s="4" t="s">
        <v>665</v>
      </c>
      <c r="K180" s="4" t="s">
        <v>102</v>
      </c>
      <c r="L180" s="4" t="s">
        <v>36</v>
      </c>
      <c r="M180" s="4" t="s">
        <v>37</v>
      </c>
      <c r="N180" s="4" t="n">
        <v>1</v>
      </c>
      <c r="O180" s="4"/>
    </row>
    <row r="181" customFormat="false" ht="15" hidden="false" customHeight="false" outlineLevel="0" collapsed="false">
      <c r="A181" s="4" t="n">
        <v>15</v>
      </c>
      <c r="B181" s="4" t="s">
        <v>640</v>
      </c>
      <c r="C181" s="4" t="s">
        <v>641</v>
      </c>
      <c r="D181" s="4" t="s">
        <v>642</v>
      </c>
      <c r="E181" s="4" t="s">
        <v>666</v>
      </c>
      <c r="F181" s="4" t="s">
        <v>667</v>
      </c>
      <c r="G181" s="4" t="s">
        <v>55</v>
      </c>
      <c r="H181" s="4" t="s">
        <v>668</v>
      </c>
      <c r="I181" s="4" t="s">
        <v>149</v>
      </c>
      <c r="J181" s="4" t="s">
        <v>669</v>
      </c>
      <c r="K181" s="4" t="s">
        <v>102</v>
      </c>
      <c r="L181" s="4" t="s">
        <v>36</v>
      </c>
      <c r="M181" s="4" t="s">
        <v>37</v>
      </c>
      <c r="N181" s="4" t="n">
        <v>1</v>
      </c>
      <c r="O181" s="4"/>
    </row>
    <row r="182" customFormat="false" ht="15" hidden="false" customHeight="false" outlineLevel="0" collapsed="false">
      <c r="A182" s="4" t="n">
        <v>15</v>
      </c>
      <c r="B182" s="4" t="s">
        <v>640</v>
      </c>
      <c r="C182" s="4" t="s">
        <v>641</v>
      </c>
      <c r="D182" s="4" t="s">
        <v>642</v>
      </c>
      <c r="E182" s="4" t="s">
        <v>670</v>
      </c>
      <c r="F182" s="4" t="s">
        <v>671</v>
      </c>
      <c r="G182" s="4" t="s">
        <v>119</v>
      </c>
      <c r="H182" s="4" t="s">
        <v>668</v>
      </c>
      <c r="I182" s="4" t="s">
        <v>149</v>
      </c>
      <c r="J182" s="4" t="s">
        <v>672</v>
      </c>
      <c r="K182" s="4" t="s">
        <v>51</v>
      </c>
      <c r="L182" s="4" t="s">
        <v>36</v>
      </c>
      <c r="M182" s="4" t="s">
        <v>36</v>
      </c>
      <c r="N182" s="4" t="n">
        <v>1</v>
      </c>
      <c r="O182" s="4" t="s">
        <v>673</v>
      </c>
    </row>
    <row r="183" customFormat="false" ht="15" hidden="false" customHeight="false" outlineLevel="0" collapsed="false">
      <c r="A183" s="4" t="n">
        <v>15</v>
      </c>
      <c r="B183" s="4" t="s">
        <v>640</v>
      </c>
      <c r="C183" s="4" t="s">
        <v>641</v>
      </c>
      <c r="D183" s="4" t="s">
        <v>642</v>
      </c>
      <c r="E183" s="4" t="s">
        <v>674</v>
      </c>
      <c r="F183" s="4" t="s">
        <v>675</v>
      </c>
      <c r="G183" s="4" t="s">
        <v>55</v>
      </c>
      <c r="H183" s="4" t="s">
        <v>676</v>
      </c>
      <c r="I183" s="4" t="s">
        <v>149</v>
      </c>
      <c r="J183" s="4" t="s">
        <v>650</v>
      </c>
      <c r="K183" s="4" t="s">
        <v>51</v>
      </c>
      <c r="L183" s="4" t="s">
        <v>36</v>
      </c>
      <c r="M183" s="4" t="s">
        <v>37</v>
      </c>
      <c r="N183" s="4" t="n">
        <v>1</v>
      </c>
      <c r="O183" s="4"/>
    </row>
    <row r="184" customFormat="false" ht="23.85" hidden="false" customHeight="false" outlineLevel="0" collapsed="false">
      <c r="A184" s="4" t="n">
        <v>15</v>
      </c>
      <c r="B184" s="4" t="s">
        <v>640</v>
      </c>
      <c r="C184" s="4" t="s">
        <v>641</v>
      </c>
      <c r="D184" s="4" t="s">
        <v>642</v>
      </c>
      <c r="E184" s="4" t="s">
        <v>677</v>
      </c>
      <c r="F184" s="4" t="s">
        <v>678</v>
      </c>
      <c r="G184" s="4" t="s">
        <v>114</v>
      </c>
      <c r="H184" s="4" t="s">
        <v>679</v>
      </c>
      <c r="I184" s="4" t="s">
        <v>149</v>
      </c>
      <c r="J184" s="4" t="s">
        <v>680</v>
      </c>
      <c r="K184" s="4" t="s">
        <v>102</v>
      </c>
      <c r="L184" s="4" t="s">
        <v>36</v>
      </c>
      <c r="M184" s="4" t="s">
        <v>37</v>
      </c>
      <c r="N184" s="4" t="n">
        <v>1</v>
      </c>
      <c r="O184" s="4"/>
    </row>
    <row r="185" customFormat="false" ht="15" hidden="false" customHeight="false" outlineLevel="0" collapsed="false">
      <c r="A185" s="4" t="n">
        <v>15</v>
      </c>
      <c r="B185" s="4" t="s">
        <v>640</v>
      </c>
      <c r="C185" s="4" t="s">
        <v>641</v>
      </c>
      <c r="D185" s="4" t="s">
        <v>642</v>
      </c>
      <c r="E185" s="4" t="s">
        <v>681</v>
      </c>
      <c r="F185" s="4" t="s">
        <v>682</v>
      </c>
      <c r="G185" s="4" t="s">
        <v>119</v>
      </c>
      <c r="H185" s="4" t="s">
        <v>683</v>
      </c>
      <c r="I185" s="4" t="s">
        <v>149</v>
      </c>
      <c r="J185" s="4" t="s">
        <v>684</v>
      </c>
      <c r="K185" s="4" t="s">
        <v>51</v>
      </c>
      <c r="L185" s="4" t="s">
        <v>36</v>
      </c>
      <c r="M185" s="4" t="s">
        <v>36</v>
      </c>
      <c r="N185" s="4" t="n">
        <v>1</v>
      </c>
      <c r="O185" s="4" t="s">
        <v>685</v>
      </c>
    </row>
    <row r="186" customFormat="false" ht="15" hidden="false" customHeight="false" outlineLevel="0" collapsed="false">
      <c r="A186" s="4" t="n">
        <v>15</v>
      </c>
      <c r="B186" s="4" t="s">
        <v>640</v>
      </c>
      <c r="C186" s="4" t="s">
        <v>641</v>
      </c>
      <c r="D186" s="4" t="s">
        <v>642</v>
      </c>
      <c r="E186" s="4" t="s">
        <v>686</v>
      </c>
      <c r="F186" s="4" t="s">
        <v>687</v>
      </c>
      <c r="G186" s="4" t="s">
        <v>119</v>
      </c>
      <c r="H186" s="4" t="s">
        <v>688</v>
      </c>
      <c r="I186" s="4" t="s">
        <v>149</v>
      </c>
      <c r="J186" s="4" t="s">
        <v>689</v>
      </c>
      <c r="K186" s="4" t="s">
        <v>51</v>
      </c>
      <c r="L186" s="4" t="s">
        <v>36</v>
      </c>
      <c r="M186" s="4" t="s">
        <v>36</v>
      </c>
      <c r="N186" s="4" t="n">
        <v>1</v>
      </c>
      <c r="O186" s="4" t="s">
        <v>685</v>
      </c>
    </row>
    <row r="187" customFormat="false" ht="15" hidden="false" customHeight="false" outlineLevel="0" collapsed="false">
      <c r="A187" s="4" t="n">
        <v>15</v>
      </c>
      <c r="B187" s="4" t="s">
        <v>640</v>
      </c>
      <c r="C187" s="4" t="s">
        <v>641</v>
      </c>
      <c r="D187" s="4" t="s">
        <v>642</v>
      </c>
      <c r="E187" s="4" t="s">
        <v>690</v>
      </c>
      <c r="F187" s="4" t="s">
        <v>691</v>
      </c>
      <c r="G187" s="4" t="s">
        <v>55</v>
      </c>
      <c r="H187" s="4" t="s">
        <v>692</v>
      </c>
      <c r="I187" s="4" t="s">
        <v>149</v>
      </c>
      <c r="J187" s="4" t="s">
        <v>693</v>
      </c>
      <c r="K187" s="4" t="s">
        <v>51</v>
      </c>
      <c r="L187" s="4" t="s">
        <v>36</v>
      </c>
      <c r="M187" s="4" t="s">
        <v>37</v>
      </c>
      <c r="N187" s="4" t="n">
        <v>1</v>
      </c>
      <c r="O187" s="4"/>
    </row>
    <row r="188" customFormat="false" ht="23.85" hidden="false" customHeight="false" outlineLevel="0" collapsed="false">
      <c r="A188" s="4" t="n">
        <v>15</v>
      </c>
      <c r="B188" s="4" t="s">
        <v>640</v>
      </c>
      <c r="C188" s="4" t="s">
        <v>641</v>
      </c>
      <c r="D188" s="4" t="s">
        <v>642</v>
      </c>
      <c r="E188" s="4" t="s">
        <v>294</v>
      </c>
      <c r="F188" s="4" t="s">
        <v>295</v>
      </c>
      <c r="G188" s="4" t="s">
        <v>55</v>
      </c>
      <c r="H188" s="4" t="s">
        <v>296</v>
      </c>
      <c r="I188" s="4" t="s">
        <v>191</v>
      </c>
      <c r="J188" s="4" t="s">
        <v>650</v>
      </c>
      <c r="K188" s="4" t="s">
        <v>102</v>
      </c>
      <c r="L188" s="4" t="s">
        <v>37</v>
      </c>
      <c r="M188" s="4" t="s">
        <v>37</v>
      </c>
      <c r="N188" s="4" t="n">
        <v>3</v>
      </c>
      <c r="O188" s="4"/>
    </row>
    <row r="189" customFormat="false" ht="15" hidden="false" customHeight="false" outlineLevel="0" collapsed="false">
      <c r="A189" s="4" t="n">
        <v>15</v>
      </c>
      <c r="B189" s="4" t="s">
        <v>640</v>
      </c>
      <c r="C189" s="4" t="s">
        <v>641</v>
      </c>
      <c r="D189" s="4" t="s">
        <v>642</v>
      </c>
      <c r="E189" s="4" t="s">
        <v>694</v>
      </c>
      <c r="F189" s="4" t="s">
        <v>695</v>
      </c>
      <c r="G189" s="4" t="s">
        <v>119</v>
      </c>
      <c r="H189" s="4" t="s">
        <v>696</v>
      </c>
      <c r="I189" s="4" t="s">
        <v>120</v>
      </c>
      <c r="J189" s="4" t="s">
        <v>697</v>
      </c>
      <c r="K189" s="4" t="s">
        <v>51</v>
      </c>
      <c r="L189" s="4" t="s">
        <v>36</v>
      </c>
      <c r="M189" s="4" t="s">
        <v>37</v>
      </c>
      <c r="N189" s="4" t="n">
        <v>1</v>
      </c>
      <c r="O189" s="4"/>
    </row>
    <row r="190" customFormat="false" ht="23.85" hidden="false" customHeight="false" outlineLevel="0" collapsed="false">
      <c r="A190" s="4" t="n">
        <v>15</v>
      </c>
      <c r="B190" s="4" t="s">
        <v>640</v>
      </c>
      <c r="C190" s="4" t="s">
        <v>641</v>
      </c>
      <c r="D190" s="4" t="s">
        <v>642</v>
      </c>
      <c r="E190" s="4" t="s">
        <v>698</v>
      </c>
      <c r="F190" s="4" t="s">
        <v>699</v>
      </c>
      <c r="G190" s="4" t="s">
        <v>114</v>
      </c>
      <c r="H190" s="4" t="s">
        <v>700</v>
      </c>
      <c r="I190" s="4" t="s">
        <v>120</v>
      </c>
      <c r="J190" s="4" t="s">
        <v>697</v>
      </c>
      <c r="K190" s="4" t="s">
        <v>51</v>
      </c>
      <c r="L190" s="4" t="s">
        <v>36</v>
      </c>
      <c r="M190" s="4" t="s">
        <v>37</v>
      </c>
      <c r="N190" s="4" t="n">
        <v>1</v>
      </c>
      <c r="O190" s="4" t="s">
        <v>701</v>
      </c>
    </row>
    <row r="191" customFormat="false" ht="15" hidden="false" customHeight="false" outlineLevel="0" collapsed="false">
      <c r="A191" s="4" t="n">
        <v>15</v>
      </c>
      <c r="B191" s="4" t="s">
        <v>640</v>
      </c>
      <c r="C191" s="4" t="s">
        <v>641</v>
      </c>
      <c r="D191" s="4" t="s">
        <v>642</v>
      </c>
      <c r="E191" s="4" t="s">
        <v>702</v>
      </c>
      <c r="F191" s="4" t="s">
        <v>703</v>
      </c>
      <c r="G191" s="4" t="s">
        <v>114</v>
      </c>
      <c r="H191" s="4" t="s">
        <v>704</v>
      </c>
      <c r="I191" s="4" t="s">
        <v>120</v>
      </c>
      <c r="J191" s="4" t="s">
        <v>697</v>
      </c>
      <c r="K191" s="4" t="s">
        <v>705</v>
      </c>
      <c r="L191" s="4" t="s">
        <v>36</v>
      </c>
      <c r="M191" s="4" t="s">
        <v>37</v>
      </c>
      <c r="N191" s="4" t="n">
        <v>2</v>
      </c>
      <c r="O191" s="4" t="s">
        <v>706</v>
      </c>
    </row>
    <row r="192" customFormat="false" ht="15" hidden="false" customHeight="false" outlineLevel="0" collapsed="false">
      <c r="A192" s="4" t="n">
        <v>15</v>
      </c>
      <c r="B192" s="4" t="s">
        <v>640</v>
      </c>
      <c r="C192" s="4" t="s">
        <v>641</v>
      </c>
      <c r="D192" s="4" t="s">
        <v>642</v>
      </c>
      <c r="E192" s="4" t="s">
        <v>707</v>
      </c>
      <c r="F192" s="4" t="s">
        <v>708</v>
      </c>
      <c r="G192" s="4" t="s">
        <v>119</v>
      </c>
      <c r="H192" s="4" t="s">
        <v>709</v>
      </c>
      <c r="I192" s="4" t="s">
        <v>120</v>
      </c>
      <c r="J192" s="4" t="s">
        <v>710</v>
      </c>
      <c r="K192" s="4" t="s">
        <v>102</v>
      </c>
      <c r="L192" s="4" t="s">
        <v>36</v>
      </c>
      <c r="M192" s="4" t="s">
        <v>37</v>
      </c>
      <c r="N192" s="4" t="n">
        <v>1</v>
      </c>
      <c r="O192" s="4"/>
    </row>
    <row r="193" customFormat="false" ht="15" hidden="false" customHeight="false" outlineLevel="0" collapsed="false">
      <c r="A193" s="4" t="n">
        <v>15</v>
      </c>
      <c r="B193" s="4" t="s">
        <v>640</v>
      </c>
      <c r="C193" s="4" t="s">
        <v>641</v>
      </c>
      <c r="D193" s="4" t="s">
        <v>642</v>
      </c>
      <c r="E193" s="4" t="s">
        <v>711</v>
      </c>
      <c r="F193" s="4" t="s">
        <v>712</v>
      </c>
      <c r="G193" s="4" t="s">
        <v>55</v>
      </c>
      <c r="H193" s="4" t="s">
        <v>713</v>
      </c>
      <c r="I193" s="4" t="s">
        <v>120</v>
      </c>
      <c r="J193" s="4" t="s">
        <v>714</v>
      </c>
      <c r="K193" s="4" t="s">
        <v>51</v>
      </c>
      <c r="L193" s="4" t="s">
        <v>36</v>
      </c>
      <c r="M193" s="4" t="s">
        <v>37</v>
      </c>
      <c r="N193" s="4" t="n">
        <v>1</v>
      </c>
      <c r="O193" s="4"/>
    </row>
    <row r="194" customFormat="false" ht="15" hidden="false" customHeight="false" outlineLevel="0" collapsed="false">
      <c r="A194" s="4" t="n">
        <v>15</v>
      </c>
      <c r="B194" s="4" t="s">
        <v>640</v>
      </c>
      <c r="C194" s="4" t="s">
        <v>641</v>
      </c>
      <c r="D194" s="4" t="s">
        <v>642</v>
      </c>
      <c r="E194" s="4" t="s">
        <v>715</v>
      </c>
      <c r="F194" s="4" t="s">
        <v>716</v>
      </c>
      <c r="G194" s="4" t="s">
        <v>176</v>
      </c>
      <c r="H194" s="4" t="s">
        <v>717</v>
      </c>
      <c r="I194" s="4" t="s">
        <v>120</v>
      </c>
      <c r="J194" s="4" t="s">
        <v>714</v>
      </c>
      <c r="K194" s="4" t="s">
        <v>102</v>
      </c>
      <c r="L194" s="4" t="s">
        <v>36</v>
      </c>
      <c r="M194" s="4" t="s">
        <v>37</v>
      </c>
      <c r="N194" s="4" t="n">
        <v>1</v>
      </c>
      <c r="O194" s="4" t="s">
        <v>253</v>
      </c>
    </row>
    <row r="195" customFormat="false" ht="15" hidden="false" customHeight="false" outlineLevel="0" collapsed="false">
      <c r="A195" s="4" t="n">
        <v>16</v>
      </c>
      <c r="B195" s="4" t="s">
        <v>718</v>
      </c>
      <c r="C195" s="4" t="s">
        <v>719</v>
      </c>
      <c r="D195" s="4" t="s">
        <v>720</v>
      </c>
      <c r="E195" s="4" t="s">
        <v>721</v>
      </c>
      <c r="F195" s="4" t="s">
        <v>722</v>
      </c>
      <c r="G195" s="4" t="s">
        <v>114</v>
      </c>
      <c r="H195" s="4" t="s">
        <v>723</v>
      </c>
      <c r="I195" s="4" t="s">
        <v>184</v>
      </c>
      <c r="J195" s="4" t="s">
        <v>724</v>
      </c>
      <c r="K195" s="4" t="s">
        <v>102</v>
      </c>
      <c r="L195" s="4" t="s">
        <v>36</v>
      </c>
      <c r="M195" s="4" t="s">
        <v>37</v>
      </c>
      <c r="N195" s="4" t="n">
        <v>1</v>
      </c>
      <c r="O195" s="4" t="s">
        <v>725</v>
      </c>
    </row>
    <row r="196" customFormat="false" ht="15" hidden="false" customHeight="false" outlineLevel="0" collapsed="false">
      <c r="A196" s="4" t="n">
        <v>16</v>
      </c>
      <c r="B196" s="4" t="s">
        <v>718</v>
      </c>
      <c r="C196" s="4" t="s">
        <v>719</v>
      </c>
      <c r="D196" s="4" t="s">
        <v>720</v>
      </c>
      <c r="E196" s="4" t="s">
        <v>726</v>
      </c>
      <c r="F196" s="4" t="s">
        <v>727</v>
      </c>
      <c r="G196" s="4" t="s">
        <v>119</v>
      </c>
      <c r="H196" s="4" t="s">
        <v>728</v>
      </c>
      <c r="I196" s="4" t="s">
        <v>184</v>
      </c>
      <c r="J196" s="4" t="s">
        <v>729</v>
      </c>
      <c r="K196" s="4" t="s">
        <v>102</v>
      </c>
      <c r="L196" s="4" t="s">
        <v>36</v>
      </c>
      <c r="M196" s="4" t="s">
        <v>36</v>
      </c>
      <c r="N196" s="4" t="n">
        <v>1</v>
      </c>
      <c r="O196" s="4" t="s">
        <v>730</v>
      </c>
    </row>
    <row r="197" customFormat="false" ht="15" hidden="false" customHeight="false" outlineLevel="0" collapsed="false">
      <c r="A197" s="4" t="n">
        <v>16</v>
      </c>
      <c r="B197" s="4" t="s">
        <v>718</v>
      </c>
      <c r="C197" s="4" t="s">
        <v>719</v>
      </c>
      <c r="D197" s="4" t="s">
        <v>720</v>
      </c>
      <c r="E197" s="4" t="s">
        <v>731</v>
      </c>
      <c r="F197" s="4" t="s">
        <v>732</v>
      </c>
      <c r="G197" s="4" t="s">
        <v>119</v>
      </c>
      <c r="H197" s="4" t="s">
        <v>733</v>
      </c>
      <c r="I197" s="4" t="s">
        <v>184</v>
      </c>
      <c r="J197" s="4" t="s">
        <v>734</v>
      </c>
      <c r="K197" s="4" t="s">
        <v>102</v>
      </c>
      <c r="L197" s="4" t="s">
        <v>36</v>
      </c>
      <c r="M197" s="4" t="s">
        <v>37</v>
      </c>
      <c r="N197" s="4" t="n">
        <v>1</v>
      </c>
      <c r="O197" s="4" t="s">
        <v>735</v>
      </c>
    </row>
    <row r="198" customFormat="false" ht="23.85" hidden="false" customHeight="false" outlineLevel="0" collapsed="false">
      <c r="A198" s="4" t="n">
        <v>16</v>
      </c>
      <c r="B198" s="4" t="s">
        <v>718</v>
      </c>
      <c r="C198" s="4" t="s">
        <v>719</v>
      </c>
      <c r="D198" s="4" t="s">
        <v>720</v>
      </c>
      <c r="E198" s="4" t="s">
        <v>657</v>
      </c>
      <c r="F198" s="4" t="s">
        <v>658</v>
      </c>
      <c r="G198" s="4" t="s">
        <v>55</v>
      </c>
      <c r="H198" s="4" t="s">
        <v>659</v>
      </c>
      <c r="I198" s="4" t="s">
        <v>191</v>
      </c>
      <c r="J198" s="4" t="s">
        <v>736</v>
      </c>
      <c r="K198" s="4" t="s">
        <v>51</v>
      </c>
      <c r="L198" s="4" t="s">
        <v>37</v>
      </c>
      <c r="M198" s="4" t="s">
        <v>37</v>
      </c>
      <c r="N198" s="4" t="n">
        <v>2</v>
      </c>
      <c r="O198" s="4"/>
    </row>
    <row r="199" customFormat="false" ht="23.85" hidden="false" customHeight="false" outlineLevel="0" collapsed="false">
      <c r="A199" s="4" t="n">
        <v>16</v>
      </c>
      <c r="B199" s="4" t="s">
        <v>718</v>
      </c>
      <c r="C199" s="4" t="s">
        <v>719</v>
      </c>
      <c r="D199" s="4" t="s">
        <v>720</v>
      </c>
      <c r="E199" s="4" t="s">
        <v>294</v>
      </c>
      <c r="F199" s="4" t="s">
        <v>295</v>
      </c>
      <c r="G199" s="4" t="s">
        <v>55</v>
      </c>
      <c r="H199" s="4" t="s">
        <v>296</v>
      </c>
      <c r="I199" s="4" t="s">
        <v>191</v>
      </c>
      <c r="J199" s="4" t="s">
        <v>737</v>
      </c>
      <c r="K199" s="4" t="s">
        <v>102</v>
      </c>
      <c r="L199" s="4" t="s">
        <v>37</v>
      </c>
      <c r="M199" s="4" t="s">
        <v>37</v>
      </c>
      <c r="N199" s="4" t="n">
        <v>3</v>
      </c>
      <c r="O199" s="4"/>
    </row>
    <row r="200" customFormat="false" ht="23.85" hidden="false" customHeight="false" outlineLevel="0" collapsed="false">
      <c r="A200" s="4" t="n">
        <v>16</v>
      </c>
      <c r="B200" s="4" t="s">
        <v>718</v>
      </c>
      <c r="C200" s="4" t="s">
        <v>719</v>
      </c>
      <c r="D200" s="4" t="s">
        <v>720</v>
      </c>
      <c r="E200" s="4" t="s">
        <v>643</v>
      </c>
      <c r="F200" s="4" t="s">
        <v>644</v>
      </c>
      <c r="G200" s="4" t="s">
        <v>55</v>
      </c>
      <c r="H200" s="4" t="s">
        <v>645</v>
      </c>
      <c r="I200" s="4" t="s">
        <v>191</v>
      </c>
      <c r="J200" s="4" t="s">
        <v>738</v>
      </c>
      <c r="K200" s="4" t="s">
        <v>102</v>
      </c>
      <c r="L200" s="4" t="s">
        <v>37</v>
      </c>
      <c r="M200" s="4" t="s">
        <v>37</v>
      </c>
      <c r="N200" s="4" t="n">
        <v>2</v>
      </c>
      <c r="O200" s="4"/>
    </row>
    <row r="201" customFormat="false" ht="23.85" hidden="false" customHeight="false" outlineLevel="0" collapsed="false">
      <c r="A201" s="4" t="n">
        <v>16</v>
      </c>
      <c r="B201" s="4" t="s">
        <v>718</v>
      </c>
      <c r="C201" s="4" t="s">
        <v>719</v>
      </c>
      <c r="D201" s="4" t="s">
        <v>720</v>
      </c>
      <c r="E201" s="4" t="s">
        <v>648</v>
      </c>
      <c r="F201" s="4" t="s">
        <v>649</v>
      </c>
      <c r="G201" s="4" t="s">
        <v>114</v>
      </c>
      <c r="H201" s="4" t="s">
        <v>645</v>
      </c>
      <c r="I201" s="4" t="s">
        <v>191</v>
      </c>
      <c r="J201" s="4" t="s">
        <v>739</v>
      </c>
      <c r="K201" s="4" t="s">
        <v>102</v>
      </c>
      <c r="L201" s="4" t="s">
        <v>37</v>
      </c>
      <c r="M201" s="4" t="s">
        <v>37</v>
      </c>
      <c r="N201" s="4" t="n">
        <v>2</v>
      </c>
      <c r="O201" s="4"/>
    </row>
    <row r="202" customFormat="false" ht="23.85" hidden="false" customHeight="false" outlineLevel="0" collapsed="false">
      <c r="A202" s="4" t="n">
        <v>16</v>
      </c>
      <c r="B202" s="4" t="s">
        <v>718</v>
      </c>
      <c r="C202" s="4" t="s">
        <v>719</v>
      </c>
      <c r="D202" s="4" t="s">
        <v>720</v>
      </c>
      <c r="E202" s="4" t="s">
        <v>651</v>
      </c>
      <c r="F202" s="4" t="s">
        <v>652</v>
      </c>
      <c r="G202" s="4" t="s">
        <v>55</v>
      </c>
      <c r="H202" s="4" t="s">
        <v>653</v>
      </c>
      <c r="I202" s="4" t="s">
        <v>191</v>
      </c>
      <c r="J202" s="4" t="s">
        <v>739</v>
      </c>
      <c r="K202" s="4" t="s">
        <v>655</v>
      </c>
      <c r="L202" s="4" t="s">
        <v>37</v>
      </c>
      <c r="M202" s="4" t="s">
        <v>37</v>
      </c>
      <c r="N202" s="4" t="n">
        <v>2</v>
      </c>
      <c r="O202" s="4"/>
    </row>
    <row r="203" customFormat="false" ht="15" hidden="false" customHeight="false" outlineLevel="0" collapsed="false">
      <c r="A203" s="4" t="n">
        <v>17</v>
      </c>
      <c r="B203" s="4" t="s">
        <v>740</v>
      </c>
      <c r="C203" s="4" t="s">
        <v>741</v>
      </c>
      <c r="D203" s="4" t="s">
        <v>742</v>
      </c>
      <c r="E203" s="4" t="s">
        <v>743</v>
      </c>
      <c r="F203" s="4" t="s">
        <v>744</v>
      </c>
      <c r="G203" s="4" t="s">
        <v>55</v>
      </c>
      <c r="H203" s="4" t="s">
        <v>745</v>
      </c>
      <c r="I203" s="4" t="s">
        <v>93</v>
      </c>
      <c r="J203" s="4" t="s">
        <v>746</v>
      </c>
      <c r="K203" s="4" t="s">
        <v>51</v>
      </c>
      <c r="L203" s="4" t="s">
        <v>36</v>
      </c>
      <c r="M203" s="4" t="s">
        <v>37</v>
      </c>
      <c r="N203" s="4" t="n">
        <v>1</v>
      </c>
      <c r="O203" s="4" t="s">
        <v>747</v>
      </c>
    </row>
    <row r="204" customFormat="false" ht="15" hidden="false" customHeight="false" outlineLevel="0" collapsed="false">
      <c r="A204" s="4" t="n">
        <v>17</v>
      </c>
      <c r="B204" s="4" t="s">
        <v>740</v>
      </c>
      <c r="C204" s="4" t="s">
        <v>741</v>
      </c>
      <c r="D204" s="4" t="s">
        <v>742</v>
      </c>
      <c r="E204" s="4" t="s">
        <v>748</v>
      </c>
      <c r="F204" s="4" t="s">
        <v>749</v>
      </c>
      <c r="G204" s="4" t="s">
        <v>55</v>
      </c>
      <c r="H204" s="4" t="s">
        <v>41</v>
      </c>
      <c r="I204" s="4" t="s">
        <v>93</v>
      </c>
      <c r="J204" s="4" t="s">
        <v>750</v>
      </c>
      <c r="K204" s="4" t="s">
        <v>51</v>
      </c>
      <c r="L204" s="4" t="s">
        <v>36</v>
      </c>
      <c r="M204" s="4" t="s">
        <v>37</v>
      </c>
      <c r="N204" s="4" t="n">
        <v>1</v>
      </c>
      <c r="O204" s="4"/>
    </row>
    <row r="205" customFormat="false" ht="15" hidden="false" customHeight="false" outlineLevel="0" collapsed="false">
      <c r="A205" s="4" t="n">
        <v>17</v>
      </c>
      <c r="B205" s="4" t="s">
        <v>740</v>
      </c>
      <c r="C205" s="4" t="s">
        <v>741</v>
      </c>
      <c r="D205" s="4" t="s">
        <v>742</v>
      </c>
      <c r="E205" s="4" t="s">
        <v>751</v>
      </c>
      <c r="F205" s="4" t="s">
        <v>752</v>
      </c>
      <c r="G205" s="4" t="s">
        <v>119</v>
      </c>
      <c r="H205" s="4" t="s">
        <v>753</v>
      </c>
      <c r="I205" s="4" t="s">
        <v>93</v>
      </c>
      <c r="J205" s="4" t="s">
        <v>754</v>
      </c>
      <c r="K205" s="4" t="s">
        <v>51</v>
      </c>
      <c r="L205" s="4" t="s">
        <v>36</v>
      </c>
      <c r="M205" s="4" t="s">
        <v>37</v>
      </c>
      <c r="N205" s="4" t="n">
        <v>1</v>
      </c>
      <c r="O205" s="4"/>
    </row>
    <row r="206" customFormat="false" ht="23.85" hidden="false" customHeight="false" outlineLevel="0" collapsed="false">
      <c r="A206" s="4" t="n">
        <v>17</v>
      </c>
      <c r="B206" s="4" t="s">
        <v>740</v>
      </c>
      <c r="C206" s="4" t="s">
        <v>741</v>
      </c>
      <c r="D206" s="4" t="s">
        <v>742</v>
      </c>
      <c r="E206" s="4" t="s">
        <v>307</v>
      </c>
      <c r="F206" s="4" t="s">
        <v>755</v>
      </c>
      <c r="G206" s="4" t="s">
        <v>55</v>
      </c>
      <c r="H206" s="4" t="s">
        <v>756</v>
      </c>
      <c r="I206" s="4" t="s">
        <v>93</v>
      </c>
      <c r="J206" s="4" t="s">
        <v>757</v>
      </c>
      <c r="K206" s="4" t="s">
        <v>311</v>
      </c>
      <c r="L206" s="4" t="s">
        <v>36</v>
      </c>
      <c r="M206" s="4" t="s">
        <v>37</v>
      </c>
      <c r="N206" s="4" t="n">
        <v>1</v>
      </c>
      <c r="O206" s="4" t="s">
        <v>758</v>
      </c>
    </row>
    <row r="207" customFormat="false" ht="15" hidden="false" customHeight="false" outlineLevel="0" collapsed="false">
      <c r="A207" s="4" t="n">
        <v>17</v>
      </c>
      <c r="B207" s="4" t="s">
        <v>740</v>
      </c>
      <c r="C207" s="4" t="s">
        <v>741</v>
      </c>
      <c r="D207" s="4" t="s">
        <v>742</v>
      </c>
      <c r="E207" s="4" t="s">
        <v>759</v>
      </c>
      <c r="F207" s="4" t="s">
        <v>760</v>
      </c>
      <c r="G207" s="4" t="s">
        <v>114</v>
      </c>
      <c r="H207" s="4" t="s">
        <v>761</v>
      </c>
      <c r="I207" s="4" t="s">
        <v>93</v>
      </c>
      <c r="J207" s="4" t="s">
        <v>762</v>
      </c>
      <c r="K207" s="4" t="s">
        <v>51</v>
      </c>
      <c r="L207" s="4" t="s">
        <v>36</v>
      </c>
      <c r="M207" s="4" t="s">
        <v>37</v>
      </c>
      <c r="N207" s="4" t="n">
        <v>2</v>
      </c>
      <c r="O207" s="4" t="s">
        <v>763</v>
      </c>
    </row>
    <row r="208" customFormat="false" ht="15" hidden="false" customHeight="false" outlineLevel="0" collapsed="false">
      <c r="A208" s="4" t="n">
        <v>17</v>
      </c>
      <c r="B208" s="4" t="s">
        <v>740</v>
      </c>
      <c r="C208" s="4" t="s">
        <v>741</v>
      </c>
      <c r="D208" s="4" t="s">
        <v>742</v>
      </c>
      <c r="E208" s="4" t="s">
        <v>764</v>
      </c>
      <c r="F208" s="4" t="s">
        <v>765</v>
      </c>
      <c r="G208" s="4" t="s">
        <v>55</v>
      </c>
      <c r="H208" s="4" t="s">
        <v>206</v>
      </c>
      <c r="I208" s="4" t="s">
        <v>149</v>
      </c>
      <c r="J208" s="4" t="s">
        <v>766</v>
      </c>
      <c r="K208" s="4" t="s">
        <v>705</v>
      </c>
      <c r="L208" s="4" t="s">
        <v>36</v>
      </c>
      <c r="M208" s="4" t="s">
        <v>37</v>
      </c>
      <c r="N208" s="4" t="n">
        <v>1</v>
      </c>
      <c r="O208" s="4"/>
    </row>
    <row r="209" customFormat="false" ht="15" hidden="false" customHeight="false" outlineLevel="0" collapsed="false">
      <c r="A209" s="4" t="n">
        <v>17</v>
      </c>
      <c r="B209" s="4" t="s">
        <v>740</v>
      </c>
      <c r="C209" s="4" t="s">
        <v>741</v>
      </c>
      <c r="D209" s="4" t="s">
        <v>742</v>
      </c>
      <c r="E209" s="4" t="s">
        <v>767</v>
      </c>
      <c r="F209" s="4" t="s">
        <v>768</v>
      </c>
      <c r="G209" s="4" t="s">
        <v>55</v>
      </c>
      <c r="H209" s="4" t="s">
        <v>769</v>
      </c>
      <c r="I209" s="4" t="s">
        <v>149</v>
      </c>
      <c r="J209" s="4" t="s">
        <v>770</v>
      </c>
      <c r="K209" s="4" t="s">
        <v>102</v>
      </c>
      <c r="L209" s="4" t="s">
        <v>36</v>
      </c>
      <c r="M209" s="4" t="s">
        <v>37</v>
      </c>
      <c r="N209" s="4" t="n">
        <v>1</v>
      </c>
      <c r="O209" s="4"/>
    </row>
    <row r="210" customFormat="false" ht="15" hidden="false" customHeight="false" outlineLevel="0" collapsed="false">
      <c r="A210" s="4" t="n">
        <v>17</v>
      </c>
      <c r="B210" s="4" t="s">
        <v>740</v>
      </c>
      <c r="C210" s="4" t="s">
        <v>741</v>
      </c>
      <c r="D210" s="4" t="s">
        <v>742</v>
      </c>
      <c r="E210" s="4" t="s">
        <v>771</v>
      </c>
      <c r="F210" s="4" t="s">
        <v>772</v>
      </c>
      <c r="G210" s="4" t="s">
        <v>114</v>
      </c>
      <c r="H210" s="4" t="s">
        <v>773</v>
      </c>
      <c r="I210" s="4" t="s">
        <v>149</v>
      </c>
      <c r="J210" s="4" t="s">
        <v>774</v>
      </c>
      <c r="K210" s="4" t="s">
        <v>102</v>
      </c>
      <c r="L210" s="4" t="s">
        <v>36</v>
      </c>
      <c r="M210" s="4" t="s">
        <v>36</v>
      </c>
      <c r="N210" s="4" t="n">
        <v>1</v>
      </c>
      <c r="O210" s="4" t="s">
        <v>775</v>
      </c>
    </row>
    <row r="211" customFormat="false" ht="15" hidden="false" customHeight="false" outlineLevel="0" collapsed="false">
      <c r="A211" s="4" t="n">
        <v>17</v>
      </c>
      <c r="B211" s="4" t="s">
        <v>740</v>
      </c>
      <c r="C211" s="4" t="s">
        <v>741</v>
      </c>
      <c r="D211" s="4" t="s">
        <v>742</v>
      </c>
      <c r="E211" s="4" t="s">
        <v>776</v>
      </c>
      <c r="F211" s="4" t="s">
        <v>777</v>
      </c>
      <c r="G211" s="4" t="s">
        <v>55</v>
      </c>
      <c r="H211" s="4" t="s">
        <v>778</v>
      </c>
      <c r="I211" s="4" t="s">
        <v>149</v>
      </c>
      <c r="J211" s="4" t="s">
        <v>779</v>
      </c>
      <c r="K211" s="4" t="s">
        <v>102</v>
      </c>
      <c r="L211" s="4" t="s">
        <v>36</v>
      </c>
      <c r="M211" s="4" t="s">
        <v>37</v>
      </c>
      <c r="N211" s="4" t="n">
        <v>1</v>
      </c>
      <c r="O211" s="4" t="s">
        <v>780</v>
      </c>
    </row>
    <row r="212" customFormat="false" ht="23.85" hidden="false" customHeight="false" outlineLevel="0" collapsed="false">
      <c r="A212" s="4" t="n">
        <v>17</v>
      </c>
      <c r="B212" s="4" t="s">
        <v>740</v>
      </c>
      <c r="C212" s="4" t="s">
        <v>741</v>
      </c>
      <c r="D212" s="4" t="s">
        <v>742</v>
      </c>
      <c r="E212" s="4" t="s">
        <v>214</v>
      </c>
      <c r="F212" s="4" t="s">
        <v>215</v>
      </c>
      <c r="G212" s="4" t="s">
        <v>55</v>
      </c>
      <c r="H212" s="4" t="s">
        <v>216</v>
      </c>
      <c r="I212" s="4" t="s">
        <v>191</v>
      </c>
      <c r="J212" s="4" t="s">
        <v>757</v>
      </c>
      <c r="K212" s="4" t="s">
        <v>51</v>
      </c>
      <c r="L212" s="4" t="s">
        <v>37</v>
      </c>
      <c r="M212" s="4" t="s">
        <v>37</v>
      </c>
      <c r="N212" s="4" t="n">
        <v>2</v>
      </c>
      <c r="O212" s="4"/>
    </row>
    <row r="213" customFormat="false" ht="23.85" hidden="false" customHeight="false" outlineLevel="0" collapsed="false">
      <c r="A213" s="4" t="n">
        <v>17</v>
      </c>
      <c r="B213" s="4" t="s">
        <v>740</v>
      </c>
      <c r="C213" s="4" t="s">
        <v>741</v>
      </c>
      <c r="D213" s="4" t="s">
        <v>742</v>
      </c>
      <c r="E213" s="4" t="s">
        <v>209</v>
      </c>
      <c r="F213" s="4" t="s">
        <v>210</v>
      </c>
      <c r="G213" s="4" t="s">
        <v>55</v>
      </c>
      <c r="H213" s="4" t="s">
        <v>211</v>
      </c>
      <c r="I213" s="4" t="s">
        <v>191</v>
      </c>
      <c r="J213" s="4" t="s">
        <v>781</v>
      </c>
      <c r="K213" s="4" t="s">
        <v>51</v>
      </c>
      <c r="L213" s="4" t="s">
        <v>37</v>
      </c>
      <c r="M213" s="4" t="s">
        <v>36</v>
      </c>
      <c r="N213" s="4" t="n">
        <v>3</v>
      </c>
      <c r="O213" s="4"/>
    </row>
    <row r="214" customFormat="false" ht="23.85" hidden="false" customHeight="false" outlineLevel="0" collapsed="false">
      <c r="A214" s="4" t="n">
        <v>17</v>
      </c>
      <c r="B214" s="4" t="s">
        <v>740</v>
      </c>
      <c r="C214" s="4" t="s">
        <v>741</v>
      </c>
      <c r="D214" s="4" t="s">
        <v>742</v>
      </c>
      <c r="E214" s="4" t="s">
        <v>229</v>
      </c>
      <c r="F214" s="4" t="s">
        <v>230</v>
      </c>
      <c r="G214" s="4" t="s">
        <v>55</v>
      </c>
      <c r="H214" s="4" t="s">
        <v>231</v>
      </c>
      <c r="I214" s="4" t="s">
        <v>191</v>
      </c>
      <c r="J214" s="4" t="s">
        <v>782</v>
      </c>
      <c r="K214" s="4" t="s">
        <v>51</v>
      </c>
      <c r="L214" s="4" t="s">
        <v>37</v>
      </c>
      <c r="M214" s="4" t="s">
        <v>37</v>
      </c>
      <c r="N214" s="4" t="n">
        <v>4</v>
      </c>
      <c r="O214" s="4"/>
    </row>
    <row r="215" customFormat="false" ht="23.85" hidden="false" customHeight="false" outlineLevel="0" collapsed="false">
      <c r="A215" s="4" t="n">
        <v>17</v>
      </c>
      <c r="B215" s="4" t="s">
        <v>740</v>
      </c>
      <c r="C215" s="4" t="s">
        <v>741</v>
      </c>
      <c r="D215" s="4" t="s">
        <v>742</v>
      </c>
      <c r="E215" s="4" t="s">
        <v>112</v>
      </c>
      <c r="F215" s="4" t="s">
        <v>113</v>
      </c>
      <c r="G215" s="4" t="s">
        <v>114</v>
      </c>
      <c r="H215" s="4" t="s">
        <v>115</v>
      </c>
      <c r="I215" s="4" t="s">
        <v>191</v>
      </c>
      <c r="J215" s="4" t="s">
        <v>774</v>
      </c>
      <c r="K215" s="4" t="s">
        <v>102</v>
      </c>
      <c r="L215" s="4" t="s">
        <v>37</v>
      </c>
      <c r="M215" s="4" t="s">
        <v>37</v>
      </c>
      <c r="N215" s="4" t="n">
        <v>3</v>
      </c>
      <c r="O215" s="4" t="s">
        <v>783</v>
      </c>
    </row>
    <row r="216" customFormat="false" ht="15" hidden="false" customHeight="false" outlineLevel="0" collapsed="false">
      <c r="A216" s="4" t="n">
        <v>17</v>
      </c>
      <c r="B216" s="4" t="s">
        <v>740</v>
      </c>
      <c r="C216" s="4" t="s">
        <v>741</v>
      </c>
      <c r="D216" s="4" t="s">
        <v>742</v>
      </c>
      <c r="E216" s="4" t="s">
        <v>784</v>
      </c>
      <c r="F216" s="4" t="s">
        <v>785</v>
      </c>
      <c r="G216" s="4" t="s">
        <v>119</v>
      </c>
      <c r="H216" s="4" t="s">
        <v>786</v>
      </c>
      <c r="I216" s="4" t="s">
        <v>120</v>
      </c>
      <c r="J216" s="4" t="s">
        <v>787</v>
      </c>
      <c r="K216" s="4" t="s">
        <v>51</v>
      </c>
      <c r="L216" s="4" t="s">
        <v>36</v>
      </c>
      <c r="M216" s="4" t="s">
        <v>37</v>
      </c>
      <c r="N216" s="4" t="n">
        <v>1</v>
      </c>
      <c r="O216" s="4"/>
    </row>
    <row r="217" customFormat="false" ht="15" hidden="false" customHeight="false" outlineLevel="0" collapsed="false">
      <c r="A217" s="4" t="n">
        <v>18</v>
      </c>
      <c r="B217" s="4" t="s">
        <v>788</v>
      </c>
      <c r="C217" s="4" t="s">
        <v>789</v>
      </c>
      <c r="D217" s="4" t="s">
        <v>790</v>
      </c>
      <c r="E217" s="4" t="s">
        <v>791</v>
      </c>
      <c r="F217" s="4" t="s">
        <v>792</v>
      </c>
      <c r="G217" s="4" t="s">
        <v>55</v>
      </c>
      <c r="H217" s="4" t="s">
        <v>793</v>
      </c>
      <c r="I217" s="4" t="s">
        <v>93</v>
      </c>
      <c r="J217" s="4" t="s">
        <v>794</v>
      </c>
      <c r="K217" s="4" t="s">
        <v>51</v>
      </c>
      <c r="L217" s="4" t="s">
        <v>36</v>
      </c>
      <c r="M217" s="4" t="s">
        <v>36</v>
      </c>
      <c r="N217" s="4" t="n">
        <v>1</v>
      </c>
      <c r="O217" s="4"/>
    </row>
    <row r="218" customFormat="false" ht="23.85" hidden="false" customHeight="false" outlineLevel="0" collapsed="false">
      <c r="A218" s="4" t="n">
        <v>18</v>
      </c>
      <c r="B218" s="4" t="s">
        <v>788</v>
      </c>
      <c r="C218" s="4" t="s">
        <v>789</v>
      </c>
      <c r="D218" s="4" t="s">
        <v>790</v>
      </c>
      <c r="E218" s="4" t="s">
        <v>795</v>
      </c>
      <c r="F218" s="4" t="s">
        <v>796</v>
      </c>
      <c r="G218" s="4" t="s">
        <v>55</v>
      </c>
      <c r="H218" s="4" t="s">
        <v>797</v>
      </c>
      <c r="I218" s="4" t="s">
        <v>93</v>
      </c>
      <c r="J218" s="4" t="s">
        <v>798</v>
      </c>
      <c r="K218" s="4" t="s">
        <v>51</v>
      </c>
      <c r="L218" s="4" t="s">
        <v>36</v>
      </c>
      <c r="M218" s="4" t="s">
        <v>36</v>
      </c>
      <c r="N218" s="4" t="n">
        <v>1</v>
      </c>
      <c r="O218" s="4" t="s">
        <v>799</v>
      </c>
    </row>
    <row r="219" customFormat="false" ht="15" hidden="false" customHeight="false" outlineLevel="0" collapsed="false">
      <c r="A219" s="4" t="n">
        <v>18</v>
      </c>
      <c r="B219" s="4" t="s">
        <v>788</v>
      </c>
      <c r="C219" s="4" t="s">
        <v>789</v>
      </c>
      <c r="D219" s="4" t="s">
        <v>790</v>
      </c>
      <c r="E219" s="4" t="s">
        <v>800</v>
      </c>
      <c r="F219" s="4" t="s">
        <v>801</v>
      </c>
      <c r="G219" s="4" t="s">
        <v>55</v>
      </c>
      <c r="H219" s="4" t="s">
        <v>802</v>
      </c>
      <c r="I219" s="4" t="s">
        <v>93</v>
      </c>
      <c r="J219" s="4" t="s">
        <v>803</v>
      </c>
      <c r="K219" s="4" t="s">
        <v>51</v>
      </c>
      <c r="L219" s="4" t="s">
        <v>36</v>
      </c>
      <c r="M219" s="4" t="s">
        <v>36</v>
      </c>
      <c r="N219" s="4" t="n">
        <v>2</v>
      </c>
      <c r="O219" s="4"/>
    </row>
    <row r="220" customFormat="false" ht="15" hidden="false" customHeight="false" outlineLevel="0" collapsed="false">
      <c r="A220" s="4" t="n">
        <v>18</v>
      </c>
      <c r="B220" s="4" t="s">
        <v>788</v>
      </c>
      <c r="C220" s="4" t="s">
        <v>789</v>
      </c>
      <c r="D220" s="4" t="s">
        <v>790</v>
      </c>
      <c r="E220" s="4" t="s">
        <v>804</v>
      </c>
      <c r="F220" s="4" t="s">
        <v>805</v>
      </c>
      <c r="G220" s="4" t="s">
        <v>114</v>
      </c>
      <c r="H220" s="4" t="s">
        <v>806</v>
      </c>
      <c r="I220" s="4" t="s">
        <v>93</v>
      </c>
      <c r="J220" s="4" t="s">
        <v>807</v>
      </c>
      <c r="K220" s="4" t="s">
        <v>51</v>
      </c>
      <c r="L220" s="4" t="s">
        <v>36</v>
      </c>
      <c r="M220" s="4" t="s">
        <v>37</v>
      </c>
      <c r="N220" s="4" t="n">
        <v>2</v>
      </c>
      <c r="O220" s="4" t="s">
        <v>808</v>
      </c>
    </row>
    <row r="221" customFormat="false" ht="15" hidden="false" customHeight="false" outlineLevel="0" collapsed="false">
      <c r="A221" s="4" t="n">
        <v>18</v>
      </c>
      <c r="B221" s="4" t="s">
        <v>788</v>
      </c>
      <c r="C221" s="4" t="s">
        <v>789</v>
      </c>
      <c r="D221" s="4" t="s">
        <v>790</v>
      </c>
      <c r="E221" s="4" t="s">
        <v>809</v>
      </c>
      <c r="F221" s="4" t="s">
        <v>810</v>
      </c>
      <c r="G221" s="4" t="s">
        <v>55</v>
      </c>
      <c r="H221" s="4" t="s">
        <v>811</v>
      </c>
      <c r="I221" s="4" t="s">
        <v>93</v>
      </c>
      <c r="J221" s="4" t="s">
        <v>812</v>
      </c>
      <c r="K221" s="4" t="s">
        <v>102</v>
      </c>
      <c r="L221" s="4" t="s">
        <v>36</v>
      </c>
      <c r="M221" s="4" t="s">
        <v>37</v>
      </c>
      <c r="N221" s="4" t="n">
        <v>1</v>
      </c>
      <c r="O221" s="4" t="s">
        <v>813</v>
      </c>
    </row>
    <row r="222" customFormat="false" ht="15" hidden="false" customHeight="false" outlineLevel="0" collapsed="false">
      <c r="A222" s="4" t="n">
        <v>18</v>
      </c>
      <c r="B222" s="4" t="s">
        <v>788</v>
      </c>
      <c r="C222" s="4" t="s">
        <v>789</v>
      </c>
      <c r="D222" s="4" t="s">
        <v>790</v>
      </c>
      <c r="E222" s="4" t="s">
        <v>814</v>
      </c>
      <c r="F222" s="4" t="s">
        <v>815</v>
      </c>
      <c r="G222" s="4" t="s">
        <v>55</v>
      </c>
      <c r="H222" s="4" t="s">
        <v>816</v>
      </c>
      <c r="I222" s="4" t="s">
        <v>149</v>
      </c>
      <c r="J222" s="4" t="s">
        <v>817</v>
      </c>
      <c r="K222" s="4" t="s">
        <v>818</v>
      </c>
      <c r="L222" s="4" t="s">
        <v>36</v>
      </c>
      <c r="M222" s="4" t="s">
        <v>37</v>
      </c>
      <c r="N222" s="4" t="n">
        <v>1</v>
      </c>
      <c r="O222" s="4"/>
    </row>
    <row r="223" customFormat="false" ht="15" hidden="false" customHeight="false" outlineLevel="0" collapsed="false">
      <c r="A223" s="4" t="n">
        <v>18</v>
      </c>
      <c r="B223" s="4" t="s">
        <v>788</v>
      </c>
      <c r="C223" s="4" t="s">
        <v>789</v>
      </c>
      <c r="D223" s="4" t="s">
        <v>790</v>
      </c>
      <c r="E223" s="4" t="s">
        <v>819</v>
      </c>
      <c r="F223" s="4" t="s">
        <v>820</v>
      </c>
      <c r="G223" s="4" t="s">
        <v>55</v>
      </c>
      <c r="H223" s="4" t="s">
        <v>821</v>
      </c>
      <c r="I223" s="4" t="s">
        <v>149</v>
      </c>
      <c r="J223" s="4" t="s">
        <v>822</v>
      </c>
      <c r="K223" s="4" t="s">
        <v>102</v>
      </c>
      <c r="L223" s="4" t="s">
        <v>36</v>
      </c>
      <c r="M223" s="4" t="s">
        <v>37</v>
      </c>
      <c r="N223" s="4" t="n">
        <v>1</v>
      </c>
      <c r="O223" s="4"/>
    </row>
    <row r="224" customFormat="false" ht="23.85" hidden="false" customHeight="false" outlineLevel="0" collapsed="false">
      <c r="A224" s="4" t="n">
        <v>18</v>
      </c>
      <c r="B224" s="4" t="s">
        <v>788</v>
      </c>
      <c r="C224" s="4" t="s">
        <v>789</v>
      </c>
      <c r="D224" s="4" t="s">
        <v>790</v>
      </c>
      <c r="E224" s="4" t="s">
        <v>823</v>
      </c>
      <c r="F224" s="4" t="s">
        <v>824</v>
      </c>
      <c r="G224" s="4" t="s">
        <v>55</v>
      </c>
      <c r="H224" s="4" t="s">
        <v>825</v>
      </c>
      <c r="I224" s="4" t="s">
        <v>149</v>
      </c>
      <c r="J224" s="4" t="s">
        <v>822</v>
      </c>
      <c r="K224" s="4" t="s">
        <v>826</v>
      </c>
      <c r="L224" s="4" t="s">
        <v>36</v>
      </c>
      <c r="M224" s="4" t="s">
        <v>37</v>
      </c>
      <c r="N224" s="4" t="n">
        <v>1</v>
      </c>
      <c r="O224" s="4"/>
    </row>
    <row r="225" customFormat="false" ht="15" hidden="false" customHeight="false" outlineLevel="0" collapsed="false">
      <c r="A225" s="4" t="n">
        <v>18</v>
      </c>
      <c r="B225" s="4" t="s">
        <v>788</v>
      </c>
      <c r="C225" s="4" t="s">
        <v>789</v>
      </c>
      <c r="D225" s="4" t="s">
        <v>790</v>
      </c>
      <c r="E225" s="4" t="s">
        <v>827</v>
      </c>
      <c r="F225" s="4" t="s">
        <v>828</v>
      </c>
      <c r="G225" s="4" t="s">
        <v>114</v>
      </c>
      <c r="H225" s="4" t="s">
        <v>829</v>
      </c>
      <c r="I225" s="4" t="s">
        <v>149</v>
      </c>
      <c r="J225" s="4" t="s">
        <v>830</v>
      </c>
      <c r="K225" s="4" t="s">
        <v>102</v>
      </c>
      <c r="L225" s="4" t="s">
        <v>36</v>
      </c>
      <c r="M225" s="4" t="s">
        <v>37</v>
      </c>
      <c r="N225" s="4" t="n">
        <v>1</v>
      </c>
      <c r="O225" s="4" t="s">
        <v>831</v>
      </c>
    </row>
    <row r="226" customFormat="false" ht="15" hidden="false" customHeight="false" outlineLevel="0" collapsed="false">
      <c r="A226" s="4" t="n">
        <v>18</v>
      </c>
      <c r="B226" s="4" t="s">
        <v>788</v>
      </c>
      <c r="C226" s="4" t="s">
        <v>789</v>
      </c>
      <c r="D226" s="4" t="s">
        <v>790</v>
      </c>
      <c r="E226" s="4" t="s">
        <v>832</v>
      </c>
      <c r="F226" s="4" t="s">
        <v>833</v>
      </c>
      <c r="G226" s="4" t="s">
        <v>119</v>
      </c>
      <c r="H226" s="4" t="s">
        <v>834</v>
      </c>
      <c r="I226" s="4" t="s">
        <v>149</v>
      </c>
      <c r="J226" s="4" t="s">
        <v>835</v>
      </c>
      <c r="K226" s="4" t="s">
        <v>51</v>
      </c>
      <c r="L226" s="4" t="s">
        <v>36</v>
      </c>
      <c r="M226" s="4" t="s">
        <v>36</v>
      </c>
      <c r="N226" s="4" t="n">
        <v>1</v>
      </c>
      <c r="O226" s="4"/>
    </row>
    <row r="227" customFormat="false" ht="23.85" hidden="false" customHeight="false" outlineLevel="0" collapsed="false">
      <c r="A227" s="4" t="n">
        <v>18</v>
      </c>
      <c r="B227" s="4" t="s">
        <v>788</v>
      </c>
      <c r="C227" s="4" t="s">
        <v>789</v>
      </c>
      <c r="D227" s="4" t="s">
        <v>790</v>
      </c>
      <c r="E227" s="4" t="s">
        <v>246</v>
      </c>
      <c r="F227" s="4" t="s">
        <v>247</v>
      </c>
      <c r="G227" s="4" t="s">
        <v>55</v>
      </c>
      <c r="H227" s="4" t="s">
        <v>248</v>
      </c>
      <c r="I227" s="4" t="s">
        <v>191</v>
      </c>
      <c r="J227" s="4" t="s">
        <v>836</v>
      </c>
      <c r="K227" s="4" t="s">
        <v>51</v>
      </c>
      <c r="L227" s="4" t="s">
        <v>37</v>
      </c>
      <c r="M227" s="4" t="s">
        <v>37</v>
      </c>
      <c r="N227" s="4" t="n">
        <v>2</v>
      </c>
      <c r="O227" s="4"/>
    </row>
    <row r="228" customFormat="false" ht="15" hidden="false" customHeight="false" outlineLevel="0" collapsed="false">
      <c r="A228" s="4" t="n">
        <v>18</v>
      </c>
      <c r="B228" s="4" t="s">
        <v>788</v>
      </c>
      <c r="C228" s="4" t="s">
        <v>789</v>
      </c>
      <c r="D228" s="4" t="s">
        <v>790</v>
      </c>
      <c r="E228" s="4" t="s">
        <v>837</v>
      </c>
      <c r="F228" s="4" t="s">
        <v>838</v>
      </c>
      <c r="G228" s="4" t="s">
        <v>119</v>
      </c>
      <c r="H228" s="4" t="s">
        <v>839</v>
      </c>
      <c r="I228" s="4" t="s">
        <v>120</v>
      </c>
      <c r="J228" s="4" t="s">
        <v>840</v>
      </c>
      <c r="K228" s="4" t="s">
        <v>102</v>
      </c>
      <c r="L228" s="4" t="s">
        <v>36</v>
      </c>
      <c r="M228" s="4" t="s">
        <v>36</v>
      </c>
      <c r="N228" s="4" t="n">
        <v>1</v>
      </c>
      <c r="O228" s="4" t="s">
        <v>685</v>
      </c>
    </row>
    <row r="229" customFormat="false" ht="15" hidden="false" customHeight="false" outlineLevel="0" collapsed="false">
      <c r="A229" s="4" t="n">
        <v>18</v>
      </c>
      <c r="B229" s="4" t="s">
        <v>788</v>
      </c>
      <c r="C229" s="4" t="s">
        <v>789</v>
      </c>
      <c r="D229" s="4" t="s">
        <v>790</v>
      </c>
      <c r="E229" s="4" t="s">
        <v>841</v>
      </c>
      <c r="F229" s="4" t="s">
        <v>842</v>
      </c>
      <c r="G229" s="4" t="s">
        <v>55</v>
      </c>
      <c r="H229" s="4" t="s">
        <v>843</v>
      </c>
      <c r="I229" s="4" t="s">
        <v>120</v>
      </c>
      <c r="J229" s="4" t="s">
        <v>836</v>
      </c>
      <c r="K229" s="4" t="s">
        <v>818</v>
      </c>
      <c r="L229" s="4" t="s">
        <v>36</v>
      </c>
      <c r="M229" s="4" t="s">
        <v>37</v>
      </c>
      <c r="N229" s="4" t="n">
        <v>1</v>
      </c>
      <c r="O229" s="4"/>
    </row>
    <row r="230" customFormat="false" ht="15" hidden="false" customHeight="false" outlineLevel="0" collapsed="false">
      <c r="A230" s="4" t="n">
        <v>18</v>
      </c>
      <c r="B230" s="4" t="s">
        <v>788</v>
      </c>
      <c r="C230" s="4" t="s">
        <v>789</v>
      </c>
      <c r="D230" s="4" t="s">
        <v>790</v>
      </c>
      <c r="E230" s="4" t="s">
        <v>844</v>
      </c>
      <c r="F230" s="4" t="s">
        <v>845</v>
      </c>
      <c r="G230" s="4" t="s">
        <v>55</v>
      </c>
      <c r="H230" s="4" t="s">
        <v>846</v>
      </c>
      <c r="I230" s="4" t="s">
        <v>120</v>
      </c>
      <c r="J230" s="4" t="s">
        <v>847</v>
      </c>
      <c r="K230" s="4" t="s">
        <v>51</v>
      </c>
      <c r="L230" s="4" t="s">
        <v>36</v>
      </c>
      <c r="M230" s="4" t="s">
        <v>37</v>
      </c>
      <c r="N230" s="4" t="n">
        <v>1</v>
      </c>
      <c r="O230" s="4" t="s">
        <v>848</v>
      </c>
    </row>
    <row r="231" customFormat="false" ht="15" hidden="false" customHeight="false" outlineLevel="0" collapsed="false">
      <c r="A231" s="4" t="n">
        <v>18</v>
      </c>
      <c r="B231" s="4" t="s">
        <v>788</v>
      </c>
      <c r="C231" s="4" t="s">
        <v>789</v>
      </c>
      <c r="D231" s="4" t="s">
        <v>790</v>
      </c>
      <c r="E231" s="4" t="s">
        <v>849</v>
      </c>
      <c r="F231" s="4" t="s">
        <v>850</v>
      </c>
      <c r="G231" s="4" t="s">
        <v>55</v>
      </c>
      <c r="H231" s="4" t="s">
        <v>851</v>
      </c>
      <c r="I231" s="4" t="s">
        <v>120</v>
      </c>
      <c r="J231" s="4" t="s">
        <v>852</v>
      </c>
      <c r="K231" s="4" t="s">
        <v>853</v>
      </c>
      <c r="L231" s="4" t="s">
        <v>36</v>
      </c>
      <c r="M231" s="4" t="s">
        <v>37</v>
      </c>
      <c r="N231" s="4" t="n">
        <v>1</v>
      </c>
      <c r="O231" s="4"/>
    </row>
    <row r="232" customFormat="false" ht="15" hidden="false" customHeight="false" outlineLevel="0" collapsed="false">
      <c r="A232" s="4" t="n">
        <v>18</v>
      </c>
      <c r="B232" s="4" t="s">
        <v>788</v>
      </c>
      <c r="C232" s="4" t="s">
        <v>789</v>
      </c>
      <c r="D232" s="4" t="s">
        <v>790</v>
      </c>
      <c r="E232" s="4" t="s">
        <v>854</v>
      </c>
      <c r="F232" s="4" t="s">
        <v>855</v>
      </c>
      <c r="G232" s="4" t="s">
        <v>176</v>
      </c>
      <c r="H232" s="4" t="s">
        <v>856</v>
      </c>
      <c r="I232" s="4" t="s">
        <v>120</v>
      </c>
      <c r="J232" s="4" t="s">
        <v>852</v>
      </c>
      <c r="K232" s="4" t="s">
        <v>102</v>
      </c>
      <c r="L232" s="4" t="s">
        <v>36</v>
      </c>
      <c r="M232" s="4" t="s">
        <v>37</v>
      </c>
      <c r="N232" s="4" t="n">
        <v>1</v>
      </c>
      <c r="O232" s="4" t="s">
        <v>253</v>
      </c>
    </row>
    <row r="233" customFormat="false" ht="15" hidden="false" customHeight="false" outlineLevel="0" collapsed="false">
      <c r="A233" s="4" t="n">
        <v>19</v>
      </c>
      <c r="B233" s="4" t="s">
        <v>857</v>
      </c>
      <c r="C233" s="4" t="s">
        <v>858</v>
      </c>
      <c r="D233" s="4" t="s">
        <v>859</v>
      </c>
      <c r="E233" s="4" t="s">
        <v>860</v>
      </c>
      <c r="F233" s="4" t="s">
        <v>861</v>
      </c>
      <c r="G233" s="4" t="s">
        <v>55</v>
      </c>
      <c r="H233" s="4" t="s">
        <v>862</v>
      </c>
      <c r="I233" s="4" t="s">
        <v>184</v>
      </c>
      <c r="J233" s="4" t="s">
        <v>863</v>
      </c>
      <c r="K233" s="4" t="s">
        <v>51</v>
      </c>
      <c r="L233" s="4" t="s">
        <v>36</v>
      </c>
      <c r="M233" s="4" t="s">
        <v>37</v>
      </c>
      <c r="N233" s="4" t="n">
        <v>1</v>
      </c>
      <c r="O233" s="4" t="s">
        <v>864</v>
      </c>
    </row>
    <row r="234" customFormat="false" ht="23.85" hidden="false" customHeight="false" outlineLevel="0" collapsed="false">
      <c r="A234" s="4" t="n">
        <v>19</v>
      </c>
      <c r="B234" s="4" t="s">
        <v>857</v>
      </c>
      <c r="C234" s="4" t="s">
        <v>858</v>
      </c>
      <c r="D234" s="4" t="s">
        <v>859</v>
      </c>
      <c r="E234" s="4" t="s">
        <v>865</v>
      </c>
      <c r="F234" s="4" t="s">
        <v>866</v>
      </c>
      <c r="G234" s="4" t="s">
        <v>119</v>
      </c>
      <c r="H234" s="4" t="s">
        <v>867</v>
      </c>
      <c r="I234" s="4" t="s">
        <v>184</v>
      </c>
      <c r="J234" s="4" t="s">
        <v>868</v>
      </c>
      <c r="K234" s="4" t="s">
        <v>51</v>
      </c>
      <c r="L234" s="4" t="s">
        <v>36</v>
      </c>
      <c r="M234" s="4" t="s">
        <v>37</v>
      </c>
      <c r="N234" s="4" t="n">
        <v>1</v>
      </c>
      <c r="O234" s="4" t="s">
        <v>869</v>
      </c>
    </row>
    <row r="235" customFormat="false" ht="15" hidden="false" customHeight="false" outlineLevel="0" collapsed="false">
      <c r="A235" s="4" t="n">
        <v>19</v>
      </c>
      <c r="B235" s="4" t="s">
        <v>857</v>
      </c>
      <c r="C235" s="4" t="s">
        <v>858</v>
      </c>
      <c r="D235" s="4" t="s">
        <v>859</v>
      </c>
      <c r="E235" s="4" t="s">
        <v>870</v>
      </c>
      <c r="F235" s="4" t="s">
        <v>871</v>
      </c>
      <c r="G235" s="4" t="s">
        <v>119</v>
      </c>
      <c r="H235" s="4" t="s">
        <v>382</v>
      </c>
      <c r="I235" s="4" t="s">
        <v>184</v>
      </c>
      <c r="J235" s="4" t="s">
        <v>872</v>
      </c>
      <c r="K235" s="4" t="s">
        <v>818</v>
      </c>
      <c r="L235" s="4" t="s">
        <v>36</v>
      </c>
      <c r="M235" s="4" t="s">
        <v>37</v>
      </c>
      <c r="N235" s="4" t="n">
        <v>1</v>
      </c>
      <c r="O235" s="4" t="s">
        <v>626</v>
      </c>
    </row>
    <row r="236" customFormat="false" ht="15" hidden="false" customHeight="false" outlineLevel="0" collapsed="false">
      <c r="A236" s="4" t="n">
        <v>19</v>
      </c>
      <c r="B236" s="4" t="s">
        <v>857</v>
      </c>
      <c r="C236" s="4" t="s">
        <v>858</v>
      </c>
      <c r="D236" s="4" t="s">
        <v>859</v>
      </c>
      <c r="E236" s="4" t="s">
        <v>873</v>
      </c>
      <c r="F236" s="4" t="s">
        <v>874</v>
      </c>
      <c r="G236" s="4" t="s">
        <v>55</v>
      </c>
      <c r="H236" s="4" t="s">
        <v>875</v>
      </c>
      <c r="I236" s="4" t="s">
        <v>184</v>
      </c>
      <c r="J236" s="4" t="s">
        <v>876</v>
      </c>
      <c r="K236" s="4" t="s">
        <v>51</v>
      </c>
      <c r="L236" s="4" t="s">
        <v>36</v>
      </c>
      <c r="M236" s="4" t="s">
        <v>37</v>
      </c>
      <c r="N236" s="4" t="n">
        <v>1</v>
      </c>
      <c r="O236" s="4" t="s">
        <v>877</v>
      </c>
    </row>
    <row r="237" customFormat="false" ht="15" hidden="false" customHeight="false" outlineLevel="0" collapsed="false">
      <c r="A237" s="4" t="n">
        <v>19</v>
      </c>
      <c r="B237" s="4" t="s">
        <v>857</v>
      </c>
      <c r="C237" s="4" t="s">
        <v>858</v>
      </c>
      <c r="D237" s="4" t="s">
        <v>859</v>
      </c>
      <c r="E237" s="4" t="s">
        <v>878</v>
      </c>
      <c r="F237" s="4" t="s">
        <v>879</v>
      </c>
      <c r="G237" s="4" t="s">
        <v>55</v>
      </c>
      <c r="H237" s="4" t="s">
        <v>856</v>
      </c>
      <c r="I237" s="4" t="s">
        <v>184</v>
      </c>
      <c r="J237" s="4" t="s">
        <v>880</v>
      </c>
      <c r="K237" s="4" t="s">
        <v>51</v>
      </c>
      <c r="L237" s="4" t="s">
        <v>36</v>
      </c>
      <c r="M237" s="4" t="s">
        <v>37</v>
      </c>
      <c r="N237" s="4" t="n">
        <v>1</v>
      </c>
      <c r="O237" s="4" t="s">
        <v>881</v>
      </c>
    </row>
    <row r="238" customFormat="false" ht="15" hidden="false" customHeight="false" outlineLevel="0" collapsed="false">
      <c r="A238" s="4" t="n">
        <v>19</v>
      </c>
      <c r="B238" s="4" t="s">
        <v>857</v>
      </c>
      <c r="C238" s="4" t="s">
        <v>858</v>
      </c>
      <c r="D238" s="4" t="s">
        <v>859</v>
      </c>
      <c r="E238" s="4" t="s">
        <v>882</v>
      </c>
      <c r="F238" s="4" t="s">
        <v>883</v>
      </c>
      <c r="G238" s="4" t="s">
        <v>119</v>
      </c>
      <c r="H238" s="4" t="s">
        <v>884</v>
      </c>
      <c r="I238" s="4" t="s">
        <v>184</v>
      </c>
      <c r="J238" s="4" t="s">
        <v>885</v>
      </c>
      <c r="K238" s="4" t="s">
        <v>51</v>
      </c>
      <c r="L238" s="4" t="s">
        <v>36</v>
      </c>
      <c r="M238" s="4" t="s">
        <v>37</v>
      </c>
      <c r="N238" s="4" t="n">
        <v>1</v>
      </c>
      <c r="O238" s="4" t="s">
        <v>886</v>
      </c>
    </row>
    <row r="239" customFormat="false" ht="15" hidden="false" customHeight="false" outlineLevel="0" collapsed="false">
      <c r="A239" s="4" t="n">
        <v>19</v>
      </c>
      <c r="B239" s="4" t="s">
        <v>857</v>
      </c>
      <c r="C239" s="4" t="s">
        <v>858</v>
      </c>
      <c r="D239" s="4" t="s">
        <v>859</v>
      </c>
      <c r="E239" s="4" t="s">
        <v>887</v>
      </c>
      <c r="F239" s="4" t="s">
        <v>888</v>
      </c>
      <c r="G239" s="4" t="s">
        <v>119</v>
      </c>
      <c r="H239" s="4" t="s">
        <v>889</v>
      </c>
      <c r="I239" s="4" t="s">
        <v>184</v>
      </c>
      <c r="J239" s="4" t="s">
        <v>890</v>
      </c>
      <c r="K239" s="4" t="s">
        <v>102</v>
      </c>
      <c r="L239" s="4" t="s">
        <v>36</v>
      </c>
      <c r="M239" s="4" t="s">
        <v>37</v>
      </c>
      <c r="N239" s="4" t="n">
        <v>1</v>
      </c>
      <c r="O239" s="4" t="s">
        <v>891</v>
      </c>
    </row>
    <row r="240" customFormat="false" ht="23.85" hidden="false" customHeight="false" outlineLevel="0" collapsed="false">
      <c r="A240" s="4" t="n">
        <v>19</v>
      </c>
      <c r="B240" s="4" t="s">
        <v>857</v>
      </c>
      <c r="C240" s="4" t="s">
        <v>858</v>
      </c>
      <c r="D240" s="4" t="s">
        <v>859</v>
      </c>
      <c r="E240" s="4" t="s">
        <v>800</v>
      </c>
      <c r="F240" s="4" t="s">
        <v>801</v>
      </c>
      <c r="G240" s="4" t="s">
        <v>55</v>
      </c>
      <c r="H240" s="4" t="s">
        <v>802</v>
      </c>
      <c r="I240" s="4" t="s">
        <v>191</v>
      </c>
      <c r="J240" s="4" t="s">
        <v>892</v>
      </c>
      <c r="K240" s="4" t="s">
        <v>51</v>
      </c>
      <c r="L240" s="4" t="s">
        <v>37</v>
      </c>
      <c r="M240" s="4" t="s">
        <v>36</v>
      </c>
      <c r="N240" s="4" t="n">
        <v>2</v>
      </c>
      <c r="O240" s="4"/>
    </row>
    <row r="241" customFormat="false" ht="23.85" hidden="false" customHeight="false" outlineLevel="0" collapsed="false">
      <c r="A241" s="4" t="n">
        <v>19</v>
      </c>
      <c r="B241" s="4" t="s">
        <v>857</v>
      </c>
      <c r="C241" s="4" t="s">
        <v>858</v>
      </c>
      <c r="D241" s="4" t="s">
        <v>859</v>
      </c>
      <c r="E241" s="4" t="s">
        <v>804</v>
      </c>
      <c r="F241" s="4" t="s">
        <v>805</v>
      </c>
      <c r="G241" s="4" t="s">
        <v>114</v>
      </c>
      <c r="H241" s="4" t="s">
        <v>806</v>
      </c>
      <c r="I241" s="4" t="s">
        <v>191</v>
      </c>
      <c r="J241" s="4" t="s">
        <v>885</v>
      </c>
      <c r="K241" s="4" t="s">
        <v>51</v>
      </c>
      <c r="L241" s="4" t="s">
        <v>37</v>
      </c>
      <c r="M241" s="4" t="s">
        <v>37</v>
      </c>
      <c r="N241" s="4" t="n">
        <v>2</v>
      </c>
      <c r="O241" s="4"/>
    </row>
    <row r="242" customFormat="false" ht="23.85" hidden="false" customHeight="false" outlineLevel="0" collapsed="false">
      <c r="A242" s="4" t="n">
        <v>19</v>
      </c>
      <c r="B242" s="4" t="s">
        <v>857</v>
      </c>
      <c r="C242" s="4" t="s">
        <v>858</v>
      </c>
      <c r="D242" s="4" t="s">
        <v>859</v>
      </c>
      <c r="E242" s="4" t="s">
        <v>759</v>
      </c>
      <c r="F242" s="4" t="s">
        <v>760</v>
      </c>
      <c r="G242" s="4" t="s">
        <v>114</v>
      </c>
      <c r="H242" s="4" t="s">
        <v>761</v>
      </c>
      <c r="I242" s="4" t="s">
        <v>191</v>
      </c>
      <c r="J242" s="4" t="s">
        <v>876</v>
      </c>
      <c r="K242" s="4" t="s">
        <v>51</v>
      </c>
      <c r="L242" s="4" t="s">
        <v>37</v>
      </c>
      <c r="M242" s="4" t="s">
        <v>37</v>
      </c>
      <c r="N242" s="4" t="n">
        <v>2</v>
      </c>
      <c r="O242" s="4"/>
    </row>
    <row r="243" customFormat="false" ht="15" hidden="false" customHeight="false" outlineLevel="0" collapsed="false">
      <c r="A243" s="4" t="n">
        <v>20</v>
      </c>
      <c r="B243" s="4" t="s">
        <v>893</v>
      </c>
      <c r="C243" s="4" t="s">
        <v>894</v>
      </c>
      <c r="D243" s="4" t="s">
        <v>895</v>
      </c>
      <c r="E243" s="4" t="s">
        <v>896</v>
      </c>
      <c r="F243" s="4" t="s">
        <v>897</v>
      </c>
      <c r="G243" s="4" t="s">
        <v>55</v>
      </c>
      <c r="H243" s="4" t="s">
        <v>498</v>
      </c>
      <c r="I243" s="4" t="s">
        <v>93</v>
      </c>
      <c r="J243" s="4" t="s">
        <v>898</v>
      </c>
      <c r="K243" s="4" t="s">
        <v>102</v>
      </c>
      <c r="L243" s="4" t="s">
        <v>36</v>
      </c>
      <c r="M243" s="4" t="s">
        <v>37</v>
      </c>
      <c r="N243" s="4" t="n">
        <v>1</v>
      </c>
      <c r="O243" s="4" t="s">
        <v>899</v>
      </c>
    </row>
    <row r="244" customFormat="false" ht="15" hidden="false" customHeight="false" outlineLevel="0" collapsed="false">
      <c r="A244" s="4" t="n">
        <v>20</v>
      </c>
      <c r="B244" s="4" t="s">
        <v>893</v>
      </c>
      <c r="C244" s="4" t="s">
        <v>894</v>
      </c>
      <c r="D244" s="4" t="s">
        <v>895</v>
      </c>
      <c r="E244" s="4" t="s">
        <v>900</v>
      </c>
      <c r="F244" s="4" t="s">
        <v>901</v>
      </c>
      <c r="G244" s="4" t="s">
        <v>119</v>
      </c>
      <c r="H244" s="4" t="s">
        <v>84</v>
      </c>
      <c r="I244" s="4" t="s">
        <v>93</v>
      </c>
      <c r="J244" s="4" t="s">
        <v>898</v>
      </c>
      <c r="K244" s="4" t="s">
        <v>51</v>
      </c>
      <c r="L244" s="4" t="s">
        <v>36</v>
      </c>
      <c r="M244" s="4" t="s">
        <v>37</v>
      </c>
      <c r="N244" s="4" t="n">
        <v>2</v>
      </c>
      <c r="O244" s="4" t="s">
        <v>902</v>
      </c>
    </row>
    <row r="245" customFormat="false" ht="15" hidden="false" customHeight="false" outlineLevel="0" collapsed="false">
      <c r="A245" s="4" t="n">
        <v>20</v>
      </c>
      <c r="B245" s="4" t="s">
        <v>893</v>
      </c>
      <c r="C245" s="4" t="s">
        <v>894</v>
      </c>
      <c r="D245" s="4" t="s">
        <v>895</v>
      </c>
      <c r="E245" s="4" t="s">
        <v>903</v>
      </c>
      <c r="F245" s="4" t="s">
        <v>904</v>
      </c>
      <c r="G245" s="4" t="s">
        <v>55</v>
      </c>
      <c r="H245" s="4" t="s">
        <v>905</v>
      </c>
      <c r="I245" s="4" t="s">
        <v>93</v>
      </c>
      <c r="J245" s="4" t="s">
        <v>906</v>
      </c>
      <c r="K245" s="4" t="s">
        <v>51</v>
      </c>
      <c r="L245" s="4" t="s">
        <v>36</v>
      </c>
      <c r="M245" s="4" t="s">
        <v>37</v>
      </c>
      <c r="N245" s="4" t="n">
        <v>3</v>
      </c>
      <c r="O245" s="4" t="s">
        <v>907</v>
      </c>
    </row>
    <row r="246" customFormat="false" ht="15" hidden="false" customHeight="false" outlineLevel="0" collapsed="false">
      <c r="A246" s="4" t="n">
        <v>20</v>
      </c>
      <c r="B246" s="4" t="s">
        <v>893</v>
      </c>
      <c r="C246" s="4" t="s">
        <v>894</v>
      </c>
      <c r="D246" s="4" t="s">
        <v>895</v>
      </c>
      <c r="E246" s="4" t="s">
        <v>908</v>
      </c>
      <c r="F246" s="4" t="s">
        <v>909</v>
      </c>
      <c r="G246" s="4" t="s">
        <v>114</v>
      </c>
      <c r="H246" s="4" t="s">
        <v>910</v>
      </c>
      <c r="I246" s="4" t="s">
        <v>93</v>
      </c>
      <c r="J246" s="4" t="s">
        <v>911</v>
      </c>
      <c r="K246" s="4" t="s">
        <v>51</v>
      </c>
      <c r="L246" s="4" t="s">
        <v>36</v>
      </c>
      <c r="M246" s="4" t="s">
        <v>37</v>
      </c>
      <c r="N246" s="4" t="n">
        <v>3</v>
      </c>
      <c r="O246" s="4" t="s">
        <v>912</v>
      </c>
    </row>
    <row r="247" customFormat="false" ht="23.85" hidden="false" customHeight="false" outlineLevel="0" collapsed="false">
      <c r="A247" s="4" t="n">
        <v>20</v>
      </c>
      <c r="B247" s="4" t="s">
        <v>893</v>
      </c>
      <c r="C247" s="4" t="s">
        <v>894</v>
      </c>
      <c r="D247" s="4" t="s">
        <v>895</v>
      </c>
      <c r="E247" s="4" t="s">
        <v>307</v>
      </c>
      <c r="F247" s="4" t="s">
        <v>913</v>
      </c>
      <c r="G247" s="4" t="s">
        <v>55</v>
      </c>
      <c r="H247" s="4" t="s">
        <v>914</v>
      </c>
      <c r="I247" s="4" t="s">
        <v>93</v>
      </c>
      <c r="J247" s="4" t="s">
        <v>915</v>
      </c>
      <c r="K247" s="4" t="s">
        <v>311</v>
      </c>
      <c r="L247" s="4" t="s">
        <v>36</v>
      </c>
      <c r="M247" s="4" t="s">
        <v>37</v>
      </c>
      <c r="N247" s="4" t="n">
        <v>1</v>
      </c>
      <c r="O247" s="4" t="s">
        <v>916</v>
      </c>
    </row>
    <row r="248" customFormat="false" ht="23.85" hidden="false" customHeight="false" outlineLevel="0" collapsed="false">
      <c r="A248" s="4" t="n">
        <v>20</v>
      </c>
      <c r="B248" s="4" t="s">
        <v>893</v>
      </c>
      <c r="C248" s="4" t="s">
        <v>894</v>
      </c>
      <c r="D248" s="4" t="s">
        <v>895</v>
      </c>
      <c r="E248" s="4" t="s">
        <v>307</v>
      </c>
      <c r="F248" s="4" t="s">
        <v>917</v>
      </c>
      <c r="G248" s="4" t="s">
        <v>114</v>
      </c>
      <c r="H248" s="4" t="s">
        <v>918</v>
      </c>
      <c r="I248" s="4" t="s">
        <v>93</v>
      </c>
      <c r="J248" s="4" t="s">
        <v>919</v>
      </c>
      <c r="K248" s="4" t="s">
        <v>311</v>
      </c>
      <c r="L248" s="4" t="s">
        <v>36</v>
      </c>
      <c r="M248" s="4" t="s">
        <v>37</v>
      </c>
      <c r="N248" s="4" t="n">
        <v>1</v>
      </c>
      <c r="O248" s="4" t="s">
        <v>920</v>
      </c>
    </row>
    <row r="249" customFormat="false" ht="15" hidden="false" customHeight="false" outlineLevel="0" collapsed="false">
      <c r="A249" s="4" t="n">
        <v>20</v>
      </c>
      <c r="B249" s="4" t="s">
        <v>893</v>
      </c>
      <c r="C249" s="4" t="s">
        <v>894</v>
      </c>
      <c r="D249" s="4" t="s">
        <v>895</v>
      </c>
      <c r="E249" s="4" t="s">
        <v>921</v>
      </c>
      <c r="F249" s="4" t="s">
        <v>922</v>
      </c>
      <c r="G249" s="4" t="s">
        <v>55</v>
      </c>
      <c r="H249" s="4" t="s">
        <v>153</v>
      </c>
      <c r="I249" s="4" t="s">
        <v>149</v>
      </c>
      <c r="J249" s="4" t="s">
        <v>923</v>
      </c>
      <c r="K249" s="4" t="s">
        <v>51</v>
      </c>
      <c r="L249" s="4" t="s">
        <v>36</v>
      </c>
      <c r="M249" s="4" t="s">
        <v>37</v>
      </c>
      <c r="N249" s="4" t="n">
        <v>1</v>
      </c>
      <c r="O249" s="4"/>
    </row>
    <row r="250" customFormat="false" ht="15" hidden="false" customHeight="false" outlineLevel="0" collapsed="false">
      <c r="A250" s="4" t="n">
        <v>20</v>
      </c>
      <c r="B250" s="4" t="s">
        <v>893</v>
      </c>
      <c r="C250" s="4" t="s">
        <v>894</v>
      </c>
      <c r="D250" s="4" t="s">
        <v>895</v>
      </c>
      <c r="E250" s="4" t="s">
        <v>924</v>
      </c>
      <c r="F250" s="4" t="s">
        <v>925</v>
      </c>
      <c r="G250" s="4" t="s">
        <v>55</v>
      </c>
      <c r="H250" s="4" t="s">
        <v>382</v>
      </c>
      <c r="I250" s="4" t="s">
        <v>149</v>
      </c>
      <c r="J250" s="4" t="s">
        <v>919</v>
      </c>
      <c r="K250" s="4" t="s">
        <v>51</v>
      </c>
      <c r="L250" s="4" t="s">
        <v>36</v>
      </c>
      <c r="M250" s="4" t="s">
        <v>37</v>
      </c>
      <c r="N250" s="4" t="n">
        <v>2</v>
      </c>
      <c r="O250" s="4"/>
    </row>
    <row r="251" customFormat="false" ht="15" hidden="false" customHeight="false" outlineLevel="0" collapsed="false">
      <c r="A251" s="4" t="n">
        <v>20</v>
      </c>
      <c r="B251" s="4" t="s">
        <v>893</v>
      </c>
      <c r="C251" s="4" t="s">
        <v>894</v>
      </c>
      <c r="D251" s="4" t="s">
        <v>895</v>
      </c>
      <c r="E251" s="4" t="s">
        <v>926</v>
      </c>
      <c r="F251" s="4" t="s">
        <v>927</v>
      </c>
      <c r="G251" s="4" t="s">
        <v>114</v>
      </c>
      <c r="H251" s="4" t="s">
        <v>928</v>
      </c>
      <c r="I251" s="4" t="s">
        <v>149</v>
      </c>
      <c r="J251" s="4" t="s">
        <v>929</v>
      </c>
      <c r="K251" s="4" t="s">
        <v>102</v>
      </c>
      <c r="L251" s="4" t="s">
        <v>36</v>
      </c>
      <c r="M251" s="4" t="s">
        <v>37</v>
      </c>
      <c r="N251" s="4" t="n">
        <v>1</v>
      </c>
      <c r="O251" s="4" t="s">
        <v>930</v>
      </c>
    </row>
    <row r="252" customFormat="false" ht="23.85" hidden="false" customHeight="false" outlineLevel="0" collapsed="false">
      <c r="A252" s="4" t="n">
        <v>20</v>
      </c>
      <c r="B252" s="4" t="s">
        <v>893</v>
      </c>
      <c r="C252" s="4" t="s">
        <v>894</v>
      </c>
      <c r="D252" s="4" t="s">
        <v>895</v>
      </c>
      <c r="E252" s="4" t="s">
        <v>328</v>
      </c>
      <c r="F252" s="4" t="s">
        <v>329</v>
      </c>
      <c r="G252" s="4" t="s">
        <v>119</v>
      </c>
      <c r="H252" s="4" t="s">
        <v>330</v>
      </c>
      <c r="I252" s="4" t="s">
        <v>191</v>
      </c>
      <c r="J252" s="4" t="s">
        <v>915</v>
      </c>
      <c r="K252" s="4" t="s">
        <v>51</v>
      </c>
      <c r="L252" s="4" t="s">
        <v>37</v>
      </c>
      <c r="M252" s="4" t="s">
        <v>37</v>
      </c>
      <c r="N252" s="4" t="n">
        <v>4</v>
      </c>
      <c r="O252" s="4"/>
    </row>
    <row r="253" customFormat="false" ht="23.85" hidden="false" customHeight="false" outlineLevel="0" collapsed="false">
      <c r="A253" s="4" t="n">
        <v>20</v>
      </c>
      <c r="B253" s="4" t="s">
        <v>893</v>
      </c>
      <c r="C253" s="4" t="s">
        <v>894</v>
      </c>
      <c r="D253" s="4" t="s">
        <v>895</v>
      </c>
      <c r="E253" s="4" t="s">
        <v>353</v>
      </c>
      <c r="F253" s="4" t="s">
        <v>354</v>
      </c>
      <c r="G253" s="4" t="s">
        <v>119</v>
      </c>
      <c r="H253" s="4" t="s">
        <v>355</v>
      </c>
      <c r="I253" s="4" t="s">
        <v>191</v>
      </c>
      <c r="J253" s="4" t="s">
        <v>931</v>
      </c>
      <c r="K253" s="4" t="s">
        <v>51</v>
      </c>
      <c r="L253" s="4" t="s">
        <v>37</v>
      </c>
      <c r="M253" s="4" t="s">
        <v>37</v>
      </c>
      <c r="N253" s="4" t="n">
        <v>4</v>
      </c>
      <c r="O253" s="4"/>
    </row>
    <row r="254" customFormat="false" ht="15" hidden="false" customHeight="false" outlineLevel="0" collapsed="false">
      <c r="A254" s="4" t="n">
        <v>20</v>
      </c>
      <c r="B254" s="4" t="s">
        <v>893</v>
      </c>
      <c r="C254" s="4" t="s">
        <v>894</v>
      </c>
      <c r="D254" s="4" t="s">
        <v>895</v>
      </c>
      <c r="E254" s="4" t="s">
        <v>932</v>
      </c>
      <c r="F254" s="4" t="s">
        <v>933</v>
      </c>
      <c r="G254" s="4" t="s">
        <v>55</v>
      </c>
      <c r="H254" s="4" t="s">
        <v>934</v>
      </c>
      <c r="I254" s="4" t="s">
        <v>120</v>
      </c>
      <c r="J254" s="4" t="s">
        <v>935</v>
      </c>
      <c r="K254" s="4" t="s">
        <v>51</v>
      </c>
      <c r="L254" s="4" t="s">
        <v>36</v>
      </c>
      <c r="M254" s="4" t="s">
        <v>37</v>
      </c>
      <c r="N254" s="4" t="n">
        <v>3</v>
      </c>
      <c r="O254" s="4" t="s">
        <v>936</v>
      </c>
    </row>
    <row r="255" customFormat="false" ht="15" hidden="false" customHeight="false" outlineLevel="0" collapsed="false">
      <c r="A255" s="4" t="n">
        <v>20</v>
      </c>
      <c r="B255" s="4" t="s">
        <v>893</v>
      </c>
      <c r="C255" s="4" t="s">
        <v>894</v>
      </c>
      <c r="D255" s="4" t="s">
        <v>895</v>
      </c>
      <c r="E255" s="4" t="s">
        <v>937</v>
      </c>
      <c r="F255" s="4" t="s">
        <v>938</v>
      </c>
      <c r="G255" s="4" t="s">
        <v>55</v>
      </c>
      <c r="H255" s="4" t="s">
        <v>939</v>
      </c>
      <c r="I255" s="4" t="s">
        <v>120</v>
      </c>
      <c r="J255" s="4" t="s">
        <v>940</v>
      </c>
      <c r="K255" s="4" t="s">
        <v>51</v>
      </c>
      <c r="L255" s="4" t="s">
        <v>36</v>
      </c>
      <c r="M255" s="4" t="s">
        <v>37</v>
      </c>
      <c r="N255" s="4" t="n">
        <v>2</v>
      </c>
      <c r="O255" s="4" t="s">
        <v>941</v>
      </c>
    </row>
    <row r="256" customFormat="false" ht="15" hidden="false" customHeight="false" outlineLevel="0" collapsed="false">
      <c r="A256" s="4" t="n">
        <v>20</v>
      </c>
      <c r="B256" s="4" t="s">
        <v>893</v>
      </c>
      <c r="C256" s="4" t="s">
        <v>894</v>
      </c>
      <c r="D256" s="4" t="s">
        <v>895</v>
      </c>
      <c r="E256" s="4" t="s">
        <v>942</v>
      </c>
      <c r="F256" s="4" t="s">
        <v>943</v>
      </c>
      <c r="G256" s="4" t="s">
        <v>119</v>
      </c>
      <c r="H256" s="4" t="s">
        <v>944</v>
      </c>
      <c r="I256" s="4" t="s">
        <v>120</v>
      </c>
      <c r="J256" s="4" t="s">
        <v>940</v>
      </c>
      <c r="K256" s="4" t="s">
        <v>102</v>
      </c>
      <c r="L256" s="4" t="s">
        <v>36</v>
      </c>
      <c r="M256" s="4" t="s">
        <v>37</v>
      </c>
      <c r="N256" s="4" t="n">
        <v>2</v>
      </c>
      <c r="O256" s="4" t="s">
        <v>945</v>
      </c>
    </row>
    <row r="257" customFormat="false" ht="15" hidden="false" customHeight="false" outlineLevel="0" collapsed="false">
      <c r="A257" s="4" t="n">
        <v>21</v>
      </c>
      <c r="B257" s="4" t="s">
        <v>946</v>
      </c>
      <c r="C257" s="4" t="s">
        <v>947</v>
      </c>
      <c r="D257" s="4" t="s">
        <v>895</v>
      </c>
      <c r="E257" s="4" t="s">
        <v>948</v>
      </c>
      <c r="F257" s="4" t="s">
        <v>949</v>
      </c>
      <c r="G257" s="4" t="s">
        <v>55</v>
      </c>
      <c r="H257" s="4" t="s">
        <v>950</v>
      </c>
      <c r="I257" s="4" t="s">
        <v>184</v>
      </c>
      <c r="J257" s="4" t="s">
        <v>951</v>
      </c>
      <c r="K257" s="4" t="s">
        <v>102</v>
      </c>
      <c r="L257" s="4" t="s">
        <v>36</v>
      </c>
      <c r="M257" s="4" t="s">
        <v>37</v>
      </c>
      <c r="N257" s="4" t="n">
        <v>1</v>
      </c>
      <c r="O257" s="4" t="s">
        <v>952</v>
      </c>
    </row>
    <row r="258" customFormat="false" ht="15" hidden="false" customHeight="false" outlineLevel="0" collapsed="false">
      <c r="A258" s="4" t="n">
        <v>21</v>
      </c>
      <c r="B258" s="4" t="s">
        <v>946</v>
      </c>
      <c r="C258" s="4" t="s">
        <v>947</v>
      </c>
      <c r="D258" s="4" t="s">
        <v>895</v>
      </c>
      <c r="E258" s="4" t="s">
        <v>953</v>
      </c>
      <c r="F258" s="4" t="s">
        <v>954</v>
      </c>
      <c r="G258" s="4" t="s">
        <v>114</v>
      </c>
      <c r="H258" s="4" t="s">
        <v>231</v>
      </c>
      <c r="I258" s="4" t="s">
        <v>184</v>
      </c>
      <c r="J258" s="4" t="s">
        <v>955</v>
      </c>
      <c r="K258" s="4" t="s">
        <v>102</v>
      </c>
      <c r="L258" s="4" t="s">
        <v>36</v>
      </c>
      <c r="M258" s="4" t="s">
        <v>37</v>
      </c>
      <c r="N258" s="4" t="n">
        <v>1</v>
      </c>
      <c r="O258" s="4" t="s">
        <v>626</v>
      </c>
    </row>
    <row r="259" customFormat="false" ht="23.85" hidden="false" customHeight="false" outlineLevel="0" collapsed="false">
      <c r="A259" s="4" t="n">
        <v>21</v>
      </c>
      <c r="B259" s="4" t="s">
        <v>946</v>
      </c>
      <c r="C259" s="4" t="s">
        <v>947</v>
      </c>
      <c r="D259" s="4" t="s">
        <v>895</v>
      </c>
      <c r="E259" s="4" t="s">
        <v>903</v>
      </c>
      <c r="F259" s="4" t="s">
        <v>904</v>
      </c>
      <c r="G259" s="4" t="s">
        <v>55</v>
      </c>
      <c r="H259" s="4" t="s">
        <v>905</v>
      </c>
      <c r="I259" s="4" t="s">
        <v>191</v>
      </c>
      <c r="J259" s="4" t="s">
        <v>956</v>
      </c>
      <c r="K259" s="4" t="s">
        <v>51</v>
      </c>
      <c r="L259" s="4" t="s">
        <v>37</v>
      </c>
      <c r="M259" s="4" t="s">
        <v>37</v>
      </c>
      <c r="N259" s="4" t="n">
        <v>3</v>
      </c>
      <c r="O259" s="4"/>
    </row>
    <row r="260" customFormat="false" ht="23.85" hidden="false" customHeight="false" outlineLevel="0" collapsed="false">
      <c r="A260" s="4" t="n">
        <v>21</v>
      </c>
      <c r="B260" s="4" t="s">
        <v>946</v>
      </c>
      <c r="C260" s="4" t="s">
        <v>947</v>
      </c>
      <c r="D260" s="4" t="s">
        <v>895</v>
      </c>
      <c r="E260" s="4" t="s">
        <v>353</v>
      </c>
      <c r="F260" s="4" t="s">
        <v>354</v>
      </c>
      <c r="G260" s="4" t="s">
        <v>119</v>
      </c>
      <c r="H260" s="4" t="s">
        <v>355</v>
      </c>
      <c r="I260" s="4" t="s">
        <v>191</v>
      </c>
      <c r="J260" s="4" t="s">
        <v>957</v>
      </c>
      <c r="K260" s="4" t="s">
        <v>51</v>
      </c>
      <c r="L260" s="4" t="s">
        <v>37</v>
      </c>
      <c r="M260" s="4" t="s">
        <v>37</v>
      </c>
      <c r="N260" s="4" t="n">
        <v>4</v>
      </c>
      <c r="O260" s="4"/>
    </row>
    <row r="261" customFormat="false" ht="23.85" hidden="false" customHeight="false" outlineLevel="0" collapsed="false">
      <c r="A261" s="4" t="n">
        <v>21</v>
      </c>
      <c r="B261" s="4" t="s">
        <v>946</v>
      </c>
      <c r="C261" s="4" t="s">
        <v>947</v>
      </c>
      <c r="D261" s="4" t="s">
        <v>895</v>
      </c>
      <c r="E261" s="4" t="s">
        <v>900</v>
      </c>
      <c r="F261" s="4" t="s">
        <v>901</v>
      </c>
      <c r="G261" s="4" t="s">
        <v>119</v>
      </c>
      <c r="H261" s="4" t="s">
        <v>84</v>
      </c>
      <c r="I261" s="4" t="s">
        <v>191</v>
      </c>
      <c r="J261" s="4" t="s">
        <v>958</v>
      </c>
      <c r="K261" s="4" t="s">
        <v>51</v>
      </c>
      <c r="L261" s="4" t="s">
        <v>37</v>
      </c>
      <c r="M261" s="4" t="s">
        <v>37</v>
      </c>
      <c r="N261" s="4" t="n">
        <v>2</v>
      </c>
      <c r="O261" s="4"/>
    </row>
    <row r="262" customFormat="false" ht="23.85" hidden="false" customHeight="false" outlineLevel="0" collapsed="false">
      <c r="A262" s="4" t="n">
        <v>21</v>
      </c>
      <c r="B262" s="4" t="s">
        <v>946</v>
      </c>
      <c r="C262" s="4" t="s">
        <v>947</v>
      </c>
      <c r="D262" s="4" t="s">
        <v>895</v>
      </c>
      <c r="E262" s="4" t="s">
        <v>328</v>
      </c>
      <c r="F262" s="4" t="s">
        <v>329</v>
      </c>
      <c r="G262" s="4" t="s">
        <v>119</v>
      </c>
      <c r="H262" s="4" t="s">
        <v>330</v>
      </c>
      <c r="I262" s="4" t="s">
        <v>191</v>
      </c>
      <c r="J262" s="4" t="s">
        <v>959</v>
      </c>
      <c r="K262" s="4" t="s">
        <v>51</v>
      </c>
      <c r="L262" s="4" t="s">
        <v>37</v>
      </c>
      <c r="M262" s="4" t="s">
        <v>37</v>
      </c>
      <c r="N262" s="4" t="n">
        <v>4</v>
      </c>
      <c r="O262" s="4"/>
    </row>
    <row r="263" customFormat="false" ht="23.85" hidden="false" customHeight="false" outlineLevel="0" collapsed="false">
      <c r="A263" s="4" t="n">
        <v>21</v>
      </c>
      <c r="B263" s="4" t="s">
        <v>946</v>
      </c>
      <c r="C263" s="4" t="s">
        <v>947</v>
      </c>
      <c r="D263" s="4" t="s">
        <v>895</v>
      </c>
      <c r="E263" s="4" t="s">
        <v>924</v>
      </c>
      <c r="F263" s="4" t="s">
        <v>925</v>
      </c>
      <c r="G263" s="4" t="s">
        <v>55</v>
      </c>
      <c r="H263" s="4" t="s">
        <v>382</v>
      </c>
      <c r="I263" s="4" t="s">
        <v>191</v>
      </c>
      <c r="J263" s="4" t="s">
        <v>957</v>
      </c>
      <c r="K263" s="4" t="s">
        <v>51</v>
      </c>
      <c r="L263" s="4" t="s">
        <v>37</v>
      </c>
      <c r="M263" s="4" t="s">
        <v>37</v>
      </c>
      <c r="N263" s="4" t="n">
        <v>2</v>
      </c>
      <c r="O263" s="4"/>
    </row>
    <row r="264" customFormat="false" ht="23.85" hidden="false" customHeight="false" outlineLevel="0" collapsed="false">
      <c r="A264" s="4" t="n">
        <v>21</v>
      </c>
      <c r="B264" s="4" t="s">
        <v>946</v>
      </c>
      <c r="C264" s="4" t="s">
        <v>947</v>
      </c>
      <c r="D264" s="4" t="s">
        <v>895</v>
      </c>
      <c r="E264" s="4" t="s">
        <v>908</v>
      </c>
      <c r="F264" s="4" t="s">
        <v>909</v>
      </c>
      <c r="G264" s="4" t="s">
        <v>114</v>
      </c>
      <c r="H264" s="4" t="s">
        <v>910</v>
      </c>
      <c r="I264" s="4" t="s">
        <v>191</v>
      </c>
      <c r="J264" s="4" t="s">
        <v>959</v>
      </c>
      <c r="K264" s="4" t="s">
        <v>960</v>
      </c>
      <c r="L264" s="4" t="s">
        <v>37</v>
      </c>
      <c r="M264" s="4" t="s">
        <v>37</v>
      </c>
      <c r="N264" s="4" t="n">
        <v>3</v>
      </c>
      <c r="O264" s="4"/>
    </row>
    <row r="265" customFormat="false" ht="23.85" hidden="false" customHeight="false" outlineLevel="0" collapsed="false">
      <c r="A265" s="4" t="n">
        <v>21</v>
      </c>
      <c r="B265" s="4" t="s">
        <v>946</v>
      </c>
      <c r="C265" s="4" t="s">
        <v>947</v>
      </c>
      <c r="D265" s="4" t="s">
        <v>895</v>
      </c>
      <c r="E265" s="4" t="s">
        <v>932</v>
      </c>
      <c r="F265" s="4" t="s">
        <v>933</v>
      </c>
      <c r="G265" s="4" t="s">
        <v>55</v>
      </c>
      <c r="H265" s="4" t="s">
        <v>934</v>
      </c>
      <c r="I265" s="4" t="s">
        <v>191</v>
      </c>
      <c r="J265" s="4" t="s">
        <v>961</v>
      </c>
      <c r="K265" s="4" t="s">
        <v>51</v>
      </c>
      <c r="L265" s="4" t="s">
        <v>37</v>
      </c>
      <c r="M265" s="4" t="s">
        <v>37</v>
      </c>
      <c r="N265" s="4" t="n">
        <v>3</v>
      </c>
      <c r="O265" s="4" t="s">
        <v>962</v>
      </c>
    </row>
    <row r="266" customFormat="false" ht="15" hidden="false" customHeight="false" outlineLevel="0" collapsed="false">
      <c r="A266" s="4" t="n">
        <v>22</v>
      </c>
      <c r="B266" s="4" t="s">
        <v>963</v>
      </c>
      <c r="C266" s="4" t="s">
        <v>964</v>
      </c>
      <c r="D266" s="4" t="s">
        <v>965</v>
      </c>
      <c r="E266" s="4" t="s">
        <v>966</v>
      </c>
      <c r="F266" s="4" t="s">
        <v>967</v>
      </c>
      <c r="G266" s="4" t="s">
        <v>114</v>
      </c>
      <c r="H266" s="4" t="s">
        <v>968</v>
      </c>
      <c r="I266" s="4" t="s">
        <v>93</v>
      </c>
      <c r="J266" s="4" t="s">
        <v>969</v>
      </c>
      <c r="K266" s="4" t="s">
        <v>102</v>
      </c>
      <c r="L266" s="4" t="s">
        <v>36</v>
      </c>
      <c r="M266" s="4" t="s">
        <v>36</v>
      </c>
      <c r="N266" s="4" t="n">
        <v>1</v>
      </c>
      <c r="O266" s="4" t="s">
        <v>970</v>
      </c>
    </row>
    <row r="267" customFormat="false" ht="23.85" hidden="false" customHeight="false" outlineLevel="0" collapsed="false">
      <c r="A267" s="4" t="n">
        <v>22</v>
      </c>
      <c r="B267" s="4" t="s">
        <v>963</v>
      </c>
      <c r="C267" s="4" t="s">
        <v>964</v>
      </c>
      <c r="D267" s="4" t="s">
        <v>965</v>
      </c>
      <c r="E267" s="4" t="s">
        <v>971</v>
      </c>
      <c r="F267" s="4" t="s">
        <v>972</v>
      </c>
      <c r="G267" s="4" t="s">
        <v>119</v>
      </c>
      <c r="H267" s="4" t="s">
        <v>973</v>
      </c>
      <c r="I267" s="4" t="s">
        <v>93</v>
      </c>
      <c r="J267" s="4" t="s">
        <v>974</v>
      </c>
      <c r="K267" s="4" t="s">
        <v>51</v>
      </c>
      <c r="L267" s="4" t="s">
        <v>36</v>
      </c>
      <c r="M267" s="4" t="s">
        <v>37</v>
      </c>
      <c r="N267" s="4" t="n">
        <v>1</v>
      </c>
      <c r="O267" s="4" t="s">
        <v>975</v>
      </c>
    </row>
    <row r="268" customFormat="false" ht="15" hidden="false" customHeight="false" outlineLevel="0" collapsed="false">
      <c r="A268" s="4" t="n">
        <v>22</v>
      </c>
      <c r="B268" s="4" t="s">
        <v>963</v>
      </c>
      <c r="C268" s="4" t="s">
        <v>964</v>
      </c>
      <c r="D268" s="4" t="s">
        <v>965</v>
      </c>
      <c r="E268" s="4" t="s">
        <v>976</v>
      </c>
      <c r="F268" s="4" t="s">
        <v>977</v>
      </c>
      <c r="G268" s="4" t="s">
        <v>119</v>
      </c>
      <c r="H268" s="4" t="s">
        <v>978</v>
      </c>
      <c r="I268" s="4" t="s">
        <v>93</v>
      </c>
      <c r="J268" s="4" t="s">
        <v>979</v>
      </c>
      <c r="K268" s="4" t="s">
        <v>655</v>
      </c>
      <c r="L268" s="4" t="s">
        <v>36</v>
      </c>
      <c r="M268" s="4" t="s">
        <v>37</v>
      </c>
      <c r="N268" s="4" t="n">
        <v>1</v>
      </c>
      <c r="O268" s="4" t="s">
        <v>980</v>
      </c>
    </row>
    <row r="269" customFormat="false" ht="15" hidden="false" customHeight="false" outlineLevel="0" collapsed="false">
      <c r="A269" s="4" t="n">
        <v>22</v>
      </c>
      <c r="B269" s="4" t="s">
        <v>963</v>
      </c>
      <c r="C269" s="4" t="s">
        <v>964</v>
      </c>
      <c r="D269" s="4" t="s">
        <v>965</v>
      </c>
      <c r="E269" s="4" t="s">
        <v>981</v>
      </c>
      <c r="F269" s="4" t="s">
        <v>982</v>
      </c>
      <c r="G269" s="4" t="s">
        <v>55</v>
      </c>
      <c r="H269" s="4" t="s">
        <v>983</v>
      </c>
      <c r="I269" s="4" t="s">
        <v>93</v>
      </c>
      <c r="J269" s="4" t="s">
        <v>984</v>
      </c>
      <c r="K269" s="4" t="s">
        <v>102</v>
      </c>
      <c r="L269" s="4" t="s">
        <v>36</v>
      </c>
      <c r="M269" s="4" t="s">
        <v>37</v>
      </c>
      <c r="N269" s="4" t="n">
        <v>1</v>
      </c>
      <c r="O269" s="4" t="s">
        <v>985</v>
      </c>
    </row>
    <row r="270" customFormat="false" ht="15" hidden="false" customHeight="false" outlineLevel="0" collapsed="false">
      <c r="A270" s="4" t="n">
        <v>22</v>
      </c>
      <c r="B270" s="4" t="s">
        <v>963</v>
      </c>
      <c r="C270" s="4" t="s">
        <v>964</v>
      </c>
      <c r="D270" s="4" t="s">
        <v>965</v>
      </c>
      <c r="E270" s="4" t="s">
        <v>986</v>
      </c>
      <c r="F270" s="4" t="s">
        <v>987</v>
      </c>
      <c r="G270" s="4" t="s">
        <v>55</v>
      </c>
      <c r="H270" s="4" t="s">
        <v>988</v>
      </c>
      <c r="I270" s="4" t="s">
        <v>93</v>
      </c>
      <c r="J270" s="4" t="s">
        <v>989</v>
      </c>
      <c r="K270" s="4" t="s">
        <v>51</v>
      </c>
      <c r="L270" s="4" t="s">
        <v>36</v>
      </c>
      <c r="M270" s="4" t="s">
        <v>37</v>
      </c>
      <c r="N270" s="4" t="n">
        <v>1</v>
      </c>
      <c r="O270" s="4"/>
    </row>
    <row r="271" customFormat="false" ht="15" hidden="false" customHeight="false" outlineLevel="0" collapsed="false">
      <c r="A271" s="4" t="n">
        <v>22</v>
      </c>
      <c r="B271" s="4" t="s">
        <v>963</v>
      </c>
      <c r="C271" s="4" t="s">
        <v>964</v>
      </c>
      <c r="D271" s="4" t="s">
        <v>965</v>
      </c>
      <c r="E271" s="4" t="s">
        <v>990</v>
      </c>
      <c r="F271" s="4" t="s">
        <v>991</v>
      </c>
      <c r="G271" s="4" t="s">
        <v>55</v>
      </c>
      <c r="H271" s="4" t="s">
        <v>177</v>
      </c>
      <c r="I271" s="4" t="s">
        <v>149</v>
      </c>
      <c r="J271" s="4" t="s">
        <v>992</v>
      </c>
      <c r="K271" s="4" t="s">
        <v>51</v>
      </c>
      <c r="L271" s="4" t="s">
        <v>36</v>
      </c>
      <c r="M271" s="4" t="s">
        <v>36</v>
      </c>
      <c r="N271" s="4" t="n">
        <v>2</v>
      </c>
      <c r="O271" s="4"/>
    </row>
    <row r="272" customFormat="false" ht="15" hidden="false" customHeight="false" outlineLevel="0" collapsed="false">
      <c r="A272" s="4" t="n">
        <v>22</v>
      </c>
      <c r="B272" s="4" t="s">
        <v>963</v>
      </c>
      <c r="C272" s="4" t="s">
        <v>964</v>
      </c>
      <c r="D272" s="4" t="s">
        <v>965</v>
      </c>
      <c r="E272" s="4" t="s">
        <v>993</v>
      </c>
      <c r="F272" s="4" t="s">
        <v>994</v>
      </c>
      <c r="G272" s="4" t="s">
        <v>119</v>
      </c>
      <c r="H272" s="4" t="s">
        <v>995</v>
      </c>
      <c r="I272" s="4" t="s">
        <v>149</v>
      </c>
      <c r="J272" s="4" t="s">
        <v>984</v>
      </c>
      <c r="K272" s="4" t="s">
        <v>51</v>
      </c>
      <c r="L272" s="4" t="s">
        <v>36</v>
      </c>
      <c r="M272" s="4" t="s">
        <v>37</v>
      </c>
      <c r="N272" s="4" t="n">
        <v>2</v>
      </c>
      <c r="O272" s="4"/>
    </row>
    <row r="273" customFormat="false" ht="15" hidden="false" customHeight="false" outlineLevel="0" collapsed="false">
      <c r="A273" s="4" t="n">
        <v>22</v>
      </c>
      <c r="B273" s="4" t="s">
        <v>963</v>
      </c>
      <c r="C273" s="4" t="s">
        <v>964</v>
      </c>
      <c r="D273" s="4" t="s">
        <v>965</v>
      </c>
      <c r="E273" s="4" t="s">
        <v>996</v>
      </c>
      <c r="F273" s="4" t="s">
        <v>997</v>
      </c>
      <c r="G273" s="4" t="s">
        <v>114</v>
      </c>
      <c r="H273" s="4" t="s">
        <v>998</v>
      </c>
      <c r="I273" s="4" t="s">
        <v>149</v>
      </c>
      <c r="J273" s="4" t="s">
        <v>979</v>
      </c>
      <c r="K273" s="4" t="s">
        <v>102</v>
      </c>
      <c r="L273" s="4" t="s">
        <v>36</v>
      </c>
      <c r="M273" s="4" t="s">
        <v>37</v>
      </c>
      <c r="N273" s="4" t="n">
        <v>1</v>
      </c>
      <c r="O273" s="4" t="s">
        <v>999</v>
      </c>
    </row>
    <row r="274" customFormat="false" ht="15" hidden="false" customHeight="false" outlineLevel="0" collapsed="false">
      <c r="A274" s="4" t="n">
        <v>22</v>
      </c>
      <c r="B274" s="4" t="s">
        <v>963</v>
      </c>
      <c r="C274" s="4" t="s">
        <v>964</v>
      </c>
      <c r="D274" s="4" t="s">
        <v>965</v>
      </c>
      <c r="E274" s="4" t="s">
        <v>1000</v>
      </c>
      <c r="F274" s="4" t="s">
        <v>1001</v>
      </c>
      <c r="G274" s="4" t="s">
        <v>55</v>
      </c>
      <c r="H274" s="4" t="s">
        <v>1002</v>
      </c>
      <c r="I274" s="4" t="s">
        <v>149</v>
      </c>
      <c r="J274" s="4" t="s">
        <v>1003</v>
      </c>
      <c r="K274" s="4" t="s">
        <v>655</v>
      </c>
      <c r="L274" s="4" t="s">
        <v>36</v>
      </c>
      <c r="M274" s="4" t="s">
        <v>37</v>
      </c>
      <c r="N274" s="4" t="n">
        <v>1</v>
      </c>
      <c r="O274" s="4" t="s">
        <v>1004</v>
      </c>
    </row>
    <row r="275" customFormat="false" ht="15" hidden="false" customHeight="false" outlineLevel="0" collapsed="false">
      <c r="A275" s="4" t="n">
        <v>22</v>
      </c>
      <c r="B275" s="4" t="s">
        <v>963</v>
      </c>
      <c r="C275" s="4" t="s">
        <v>964</v>
      </c>
      <c r="D275" s="4" t="s">
        <v>965</v>
      </c>
      <c r="E275" s="4" t="s">
        <v>1005</v>
      </c>
      <c r="F275" s="4" t="s">
        <v>1006</v>
      </c>
      <c r="G275" s="4" t="s">
        <v>55</v>
      </c>
      <c r="H275" s="4" t="s">
        <v>1007</v>
      </c>
      <c r="I275" s="4" t="s">
        <v>149</v>
      </c>
      <c r="J275" s="4" t="s">
        <v>1008</v>
      </c>
      <c r="K275" s="4" t="s">
        <v>51</v>
      </c>
      <c r="L275" s="4" t="s">
        <v>36</v>
      </c>
      <c r="M275" s="4" t="s">
        <v>37</v>
      </c>
      <c r="N275" s="4" t="n">
        <v>1</v>
      </c>
      <c r="O275" s="4"/>
    </row>
    <row r="276" customFormat="false" ht="15" hidden="false" customHeight="false" outlineLevel="0" collapsed="false">
      <c r="A276" s="4" t="n">
        <v>22</v>
      </c>
      <c r="B276" s="4" t="s">
        <v>963</v>
      </c>
      <c r="C276" s="4" t="s">
        <v>964</v>
      </c>
      <c r="D276" s="4" t="s">
        <v>965</v>
      </c>
      <c r="E276" s="4" t="s">
        <v>1009</v>
      </c>
      <c r="F276" s="4" t="s">
        <v>1010</v>
      </c>
      <c r="G276" s="4" t="s">
        <v>55</v>
      </c>
      <c r="H276" s="4" t="s">
        <v>330</v>
      </c>
      <c r="I276" s="4" t="s">
        <v>149</v>
      </c>
      <c r="J276" s="4" t="s">
        <v>992</v>
      </c>
      <c r="K276" s="4" t="s">
        <v>51</v>
      </c>
      <c r="L276" s="4" t="s">
        <v>36</v>
      </c>
      <c r="M276" s="4" t="s">
        <v>37</v>
      </c>
      <c r="N276" s="4" t="n">
        <v>1</v>
      </c>
      <c r="O276" s="4"/>
    </row>
    <row r="277" customFormat="false" ht="15" hidden="false" customHeight="false" outlineLevel="0" collapsed="false">
      <c r="A277" s="4" t="n">
        <v>22</v>
      </c>
      <c r="B277" s="4" t="s">
        <v>963</v>
      </c>
      <c r="C277" s="4" t="s">
        <v>964</v>
      </c>
      <c r="D277" s="4" t="s">
        <v>965</v>
      </c>
      <c r="E277" s="4" t="s">
        <v>1011</v>
      </c>
      <c r="F277" s="4" t="s">
        <v>1012</v>
      </c>
      <c r="G277" s="4" t="s">
        <v>55</v>
      </c>
      <c r="H277" s="4" t="s">
        <v>1013</v>
      </c>
      <c r="I277" s="4" t="s">
        <v>149</v>
      </c>
      <c r="J277" s="4" t="s">
        <v>992</v>
      </c>
      <c r="K277" s="4" t="s">
        <v>102</v>
      </c>
      <c r="L277" s="4" t="s">
        <v>36</v>
      </c>
      <c r="M277" s="4" t="s">
        <v>36</v>
      </c>
      <c r="N277" s="4" t="n">
        <v>1</v>
      </c>
      <c r="O277" s="4" t="s">
        <v>1014</v>
      </c>
    </row>
    <row r="278" customFormat="false" ht="23.85" hidden="false" customHeight="false" outlineLevel="0" collapsed="false">
      <c r="A278" s="4" t="n">
        <v>22</v>
      </c>
      <c r="B278" s="4" t="s">
        <v>963</v>
      </c>
      <c r="C278" s="4" t="s">
        <v>964</v>
      </c>
      <c r="D278" s="4" t="s">
        <v>965</v>
      </c>
      <c r="E278" s="4" t="s">
        <v>126</v>
      </c>
      <c r="F278" s="4" t="s">
        <v>127</v>
      </c>
      <c r="G278" s="4" t="s">
        <v>55</v>
      </c>
      <c r="H278" s="4" t="s">
        <v>128</v>
      </c>
      <c r="I278" s="4" t="s">
        <v>191</v>
      </c>
      <c r="J278" s="4" t="s">
        <v>1015</v>
      </c>
      <c r="K278" s="4" t="s">
        <v>51</v>
      </c>
      <c r="L278" s="4" t="s">
        <v>37</v>
      </c>
      <c r="M278" s="4" t="s">
        <v>37</v>
      </c>
      <c r="N278" s="4" t="n">
        <v>2</v>
      </c>
      <c r="O278" s="4"/>
    </row>
    <row r="279" customFormat="false" ht="15" hidden="false" customHeight="false" outlineLevel="0" collapsed="false">
      <c r="A279" s="4" t="n">
        <v>22</v>
      </c>
      <c r="B279" s="4" t="s">
        <v>963</v>
      </c>
      <c r="C279" s="4" t="s">
        <v>964</v>
      </c>
      <c r="D279" s="4" t="s">
        <v>965</v>
      </c>
      <c r="E279" s="4" t="s">
        <v>1016</v>
      </c>
      <c r="F279" s="4" t="s">
        <v>1017</v>
      </c>
      <c r="G279" s="4" t="s">
        <v>119</v>
      </c>
      <c r="H279" s="4" t="s">
        <v>1018</v>
      </c>
      <c r="I279" s="4" t="s">
        <v>120</v>
      </c>
      <c r="J279" s="4" t="s">
        <v>1019</v>
      </c>
      <c r="K279" s="4" t="s">
        <v>51</v>
      </c>
      <c r="L279" s="4" t="s">
        <v>36</v>
      </c>
      <c r="M279" s="4" t="s">
        <v>37</v>
      </c>
      <c r="N279" s="4" t="n">
        <v>1</v>
      </c>
      <c r="O279" s="4"/>
    </row>
    <row r="280" customFormat="false" ht="15" hidden="false" customHeight="false" outlineLevel="0" collapsed="false">
      <c r="A280" s="4" t="n">
        <v>22</v>
      </c>
      <c r="B280" s="4" t="s">
        <v>963</v>
      </c>
      <c r="C280" s="4" t="s">
        <v>964</v>
      </c>
      <c r="D280" s="4" t="s">
        <v>965</v>
      </c>
      <c r="E280" s="4" t="s">
        <v>1020</v>
      </c>
      <c r="F280" s="4" t="s">
        <v>1021</v>
      </c>
      <c r="G280" s="4" t="s">
        <v>119</v>
      </c>
      <c r="H280" s="4" t="s">
        <v>41</v>
      </c>
      <c r="I280" s="4" t="s">
        <v>120</v>
      </c>
      <c r="J280" s="4" t="s">
        <v>1022</v>
      </c>
      <c r="K280" s="4" t="s">
        <v>51</v>
      </c>
      <c r="L280" s="4" t="s">
        <v>36</v>
      </c>
      <c r="M280" s="4" t="s">
        <v>37</v>
      </c>
      <c r="N280" s="4" t="n">
        <v>1</v>
      </c>
      <c r="O280" s="4"/>
    </row>
    <row r="281" customFormat="false" ht="15" hidden="false" customHeight="false" outlineLevel="0" collapsed="false">
      <c r="A281" s="4" t="n">
        <v>22</v>
      </c>
      <c r="B281" s="4" t="s">
        <v>963</v>
      </c>
      <c r="C281" s="4" t="s">
        <v>964</v>
      </c>
      <c r="D281" s="4" t="s">
        <v>965</v>
      </c>
      <c r="E281" s="4" t="s">
        <v>1023</v>
      </c>
      <c r="F281" s="4" t="s">
        <v>1024</v>
      </c>
      <c r="G281" s="4" t="s">
        <v>114</v>
      </c>
      <c r="H281" s="4" t="s">
        <v>382</v>
      </c>
      <c r="I281" s="4" t="s">
        <v>120</v>
      </c>
      <c r="J281" s="4" t="s">
        <v>1025</v>
      </c>
      <c r="K281" s="4" t="s">
        <v>51</v>
      </c>
      <c r="L281" s="4" t="s">
        <v>36</v>
      </c>
      <c r="M281" s="4" t="s">
        <v>37</v>
      </c>
      <c r="N281" s="4" t="n">
        <v>1</v>
      </c>
      <c r="O281" s="4"/>
    </row>
    <row r="282" customFormat="false" ht="15" hidden="false" customHeight="false" outlineLevel="0" collapsed="false">
      <c r="A282" s="4" t="n">
        <v>22</v>
      </c>
      <c r="B282" s="4" t="s">
        <v>963</v>
      </c>
      <c r="C282" s="4" t="s">
        <v>964</v>
      </c>
      <c r="D282" s="4" t="s">
        <v>965</v>
      </c>
      <c r="E282" s="4" t="s">
        <v>1026</v>
      </c>
      <c r="F282" s="4" t="s">
        <v>1027</v>
      </c>
      <c r="G282" s="4" t="s">
        <v>119</v>
      </c>
      <c r="H282" s="4" t="s">
        <v>41</v>
      </c>
      <c r="I282" s="4" t="s">
        <v>120</v>
      </c>
      <c r="J282" s="4" t="s">
        <v>1025</v>
      </c>
      <c r="K282" s="4" t="s">
        <v>51</v>
      </c>
      <c r="L282" s="4" t="s">
        <v>36</v>
      </c>
      <c r="M282" s="4" t="s">
        <v>37</v>
      </c>
      <c r="N282" s="4" t="n">
        <v>1</v>
      </c>
      <c r="O282" s="4"/>
    </row>
    <row r="283" customFormat="false" ht="15" hidden="false" customHeight="false" outlineLevel="0" collapsed="false">
      <c r="A283" s="4" t="n">
        <v>23</v>
      </c>
      <c r="B283" s="4" t="s">
        <v>1028</v>
      </c>
      <c r="C283" s="4" t="s">
        <v>1029</v>
      </c>
      <c r="D283" s="4" t="s">
        <v>1030</v>
      </c>
      <c r="E283" s="4" t="s">
        <v>1031</v>
      </c>
      <c r="F283" s="4" t="s">
        <v>1032</v>
      </c>
      <c r="G283" s="4" t="s">
        <v>119</v>
      </c>
      <c r="H283" s="4" t="s">
        <v>41</v>
      </c>
      <c r="I283" s="4" t="s">
        <v>93</v>
      </c>
      <c r="J283" s="4" t="s">
        <v>1033</v>
      </c>
      <c r="K283" s="4" t="s">
        <v>51</v>
      </c>
      <c r="L283" s="4" t="s">
        <v>36</v>
      </c>
      <c r="M283" s="4" t="s">
        <v>37</v>
      </c>
      <c r="N283" s="4" t="n">
        <v>1</v>
      </c>
      <c r="O283" s="4" t="s">
        <v>1034</v>
      </c>
    </row>
    <row r="284" customFormat="false" ht="15" hidden="false" customHeight="false" outlineLevel="0" collapsed="false">
      <c r="A284" s="4" t="n">
        <v>23</v>
      </c>
      <c r="B284" s="4" t="s">
        <v>1028</v>
      </c>
      <c r="C284" s="4" t="s">
        <v>1029</v>
      </c>
      <c r="D284" s="4" t="s">
        <v>1030</v>
      </c>
      <c r="E284" s="4" t="s">
        <v>1035</v>
      </c>
      <c r="F284" s="4" t="s">
        <v>1036</v>
      </c>
      <c r="G284" s="4" t="s">
        <v>119</v>
      </c>
      <c r="H284" s="4" t="s">
        <v>973</v>
      </c>
      <c r="I284" s="4" t="s">
        <v>93</v>
      </c>
      <c r="J284" s="4" t="s">
        <v>1037</v>
      </c>
      <c r="K284" s="4" t="s">
        <v>51</v>
      </c>
      <c r="L284" s="4" t="s">
        <v>36</v>
      </c>
      <c r="M284" s="4" t="s">
        <v>37</v>
      </c>
      <c r="N284" s="4" t="n">
        <v>1</v>
      </c>
      <c r="O284" s="4" t="s">
        <v>673</v>
      </c>
    </row>
    <row r="285" customFormat="false" ht="15" hidden="false" customHeight="false" outlineLevel="0" collapsed="false">
      <c r="A285" s="4" t="n">
        <v>23</v>
      </c>
      <c r="B285" s="4" t="s">
        <v>1028</v>
      </c>
      <c r="C285" s="4" t="s">
        <v>1029</v>
      </c>
      <c r="D285" s="4" t="s">
        <v>1030</v>
      </c>
      <c r="E285" s="4" t="s">
        <v>1038</v>
      </c>
      <c r="F285" s="4" t="s">
        <v>1039</v>
      </c>
      <c r="G285" s="4" t="s">
        <v>55</v>
      </c>
      <c r="H285" s="4" t="s">
        <v>41</v>
      </c>
      <c r="I285" s="4" t="s">
        <v>93</v>
      </c>
      <c r="J285" s="4" t="s">
        <v>1040</v>
      </c>
      <c r="K285" s="4" t="s">
        <v>51</v>
      </c>
      <c r="L285" s="4" t="s">
        <v>36</v>
      </c>
      <c r="M285" s="4" t="s">
        <v>37</v>
      </c>
      <c r="N285" s="4" t="n">
        <v>1</v>
      </c>
      <c r="O285" s="4"/>
    </row>
    <row r="286" customFormat="false" ht="15" hidden="false" customHeight="false" outlineLevel="0" collapsed="false">
      <c r="A286" s="4" t="n">
        <v>23</v>
      </c>
      <c r="B286" s="4" t="s">
        <v>1028</v>
      </c>
      <c r="C286" s="4" t="s">
        <v>1029</v>
      </c>
      <c r="D286" s="4" t="s">
        <v>1030</v>
      </c>
      <c r="E286" s="4" t="s">
        <v>1041</v>
      </c>
      <c r="F286" s="4" t="s">
        <v>1042</v>
      </c>
      <c r="G286" s="4" t="s">
        <v>55</v>
      </c>
      <c r="H286" s="4" t="s">
        <v>1043</v>
      </c>
      <c r="I286" s="4" t="s">
        <v>93</v>
      </c>
      <c r="J286" s="4" t="s">
        <v>1044</v>
      </c>
      <c r="K286" s="4" t="s">
        <v>51</v>
      </c>
      <c r="L286" s="4" t="s">
        <v>36</v>
      </c>
      <c r="M286" s="4" t="s">
        <v>37</v>
      </c>
      <c r="N286" s="4" t="n">
        <v>1</v>
      </c>
      <c r="O286" s="4" t="s">
        <v>1045</v>
      </c>
    </row>
    <row r="287" customFormat="false" ht="15" hidden="false" customHeight="false" outlineLevel="0" collapsed="false">
      <c r="A287" s="4" t="n">
        <v>23</v>
      </c>
      <c r="B287" s="4" t="s">
        <v>1028</v>
      </c>
      <c r="C287" s="4" t="s">
        <v>1029</v>
      </c>
      <c r="D287" s="4" t="s">
        <v>1030</v>
      </c>
      <c r="E287" s="4" t="s">
        <v>1046</v>
      </c>
      <c r="F287" s="4" t="s">
        <v>1047</v>
      </c>
      <c r="G287" s="4" t="s">
        <v>119</v>
      </c>
      <c r="H287" s="4" t="s">
        <v>468</v>
      </c>
      <c r="I287" s="4" t="s">
        <v>93</v>
      </c>
      <c r="J287" s="4" t="s">
        <v>1048</v>
      </c>
      <c r="K287" s="4" t="s">
        <v>51</v>
      </c>
      <c r="L287" s="4" t="s">
        <v>36</v>
      </c>
      <c r="M287" s="4" t="s">
        <v>37</v>
      </c>
      <c r="N287" s="4" t="n">
        <v>2</v>
      </c>
      <c r="O287" s="4" t="s">
        <v>1049</v>
      </c>
    </row>
    <row r="288" customFormat="false" ht="15" hidden="false" customHeight="false" outlineLevel="0" collapsed="false">
      <c r="A288" s="4" t="n">
        <v>23</v>
      </c>
      <c r="B288" s="4" t="s">
        <v>1028</v>
      </c>
      <c r="C288" s="4" t="s">
        <v>1029</v>
      </c>
      <c r="D288" s="4" t="s">
        <v>1030</v>
      </c>
      <c r="E288" s="4" t="s">
        <v>1050</v>
      </c>
      <c r="F288" s="4" t="s">
        <v>1051</v>
      </c>
      <c r="G288" s="4" t="s">
        <v>55</v>
      </c>
      <c r="H288" s="4" t="s">
        <v>1043</v>
      </c>
      <c r="I288" s="4" t="s">
        <v>149</v>
      </c>
      <c r="J288" s="4" t="s">
        <v>1052</v>
      </c>
      <c r="K288" s="4" t="s">
        <v>102</v>
      </c>
      <c r="L288" s="4" t="s">
        <v>36</v>
      </c>
      <c r="M288" s="4" t="s">
        <v>36</v>
      </c>
      <c r="N288" s="4" t="n">
        <v>1</v>
      </c>
      <c r="O288" s="4" t="s">
        <v>405</v>
      </c>
    </row>
    <row r="289" customFormat="false" ht="15" hidden="false" customHeight="false" outlineLevel="0" collapsed="false">
      <c r="A289" s="4" t="n">
        <v>23</v>
      </c>
      <c r="B289" s="4" t="s">
        <v>1028</v>
      </c>
      <c r="C289" s="4" t="s">
        <v>1029</v>
      </c>
      <c r="D289" s="4" t="s">
        <v>1030</v>
      </c>
      <c r="E289" s="4" t="s">
        <v>1053</v>
      </c>
      <c r="F289" s="4" t="s">
        <v>1054</v>
      </c>
      <c r="G289" s="4" t="s">
        <v>119</v>
      </c>
      <c r="H289" s="4" t="s">
        <v>41</v>
      </c>
      <c r="I289" s="4" t="s">
        <v>149</v>
      </c>
      <c r="J289" s="4" t="s">
        <v>1055</v>
      </c>
      <c r="K289" s="4" t="s">
        <v>51</v>
      </c>
      <c r="L289" s="4" t="s">
        <v>36</v>
      </c>
      <c r="M289" s="4" t="s">
        <v>37</v>
      </c>
      <c r="N289" s="4" t="n">
        <v>2</v>
      </c>
      <c r="O289" s="4"/>
    </row>
    <row r="290" customFormat="false" ht="15" hidden="false" customHeight="false" outlineLevel="0" collapsed="false">
      <c r="A290" s="4" t="n">
        <v>23</v>
      </c>
      <c r="B290" s="4" t="s">
        <v>1028</v>
      </c>
      <c r="C290" s="4" t="s">
        <v>1029</v>
      </c>
      <c r="D290" s="4" t="s">
        <v>1030</v>
      </c>
      <c r="E290" s="4" t="s">
        <v>1056</v>
      </c>
      <c r="F290" s="4" t="s">
        <v>1057</v>
      </c>
      <c r="G290" s="4" t="s">
        <v>55</v>
      </c>
      <c r="H290" s="4" t="s">
        <v>468</v>
      </c>
      <c r="I290" s="4" t="s">
        <v>149</v>
      </c>
      <c r="J290" s="4" t="s">
        <v>1058</v>
      </c>
      <c r="K290" s="4" t="s">
        <v>1059</v>
      </c>
      <c r="L290" s="4" t="s">
        <v>36</v>
      </c>
      <c r="M290" s="4" t="s">
        <v>37</v>
      </c>
      <c r="N290" s="4" t="n">
        <v>2</v>
      </c>
      <c r="O290" s="4"/>
    </row>
    <row r="291" customFormat="false" ht="15" hidden="false" customHeight="false" outlineLevel="0" collapsed="false">
      <c r="A291" s="4" t="n">
        <v>23</v>
      </c>
      <c r="B291" s="4" t="s">
        <v>1028</v>
      </c>
      <c r="C291" s="4" t="s">
        <v>1029</v>
      </c>
      <c r="D291" s="4" t="s">
        <v>1030</v>
      </c>
      <c r="E291" s="4" t="s">
        <v>1060</v>
      </c>
      <c r="F291" s="4" t="s">
        <v>1061</v>
      </c>
      <c r="G291" s="4" t="s">
        <v>119</v>
      </c>
      <c r="H291" s="4" t="s">
        <v>41</v>
      </c>
      <c r="I291" s="4" t="s">
        <v>149</v>
      </c>
      <c r="J291" s="4" t="s">
        <v>1062</v>
      </c>
      <c r="K291" s="4" t="s">
        <v>51</v>
      </c>
      <c r="L291" s="4" t="s">
        <v>36</v>
      </c>
      <c r="M291" s="4" t="s">
        <v>37</v>
      </c>
      <c r="N291" s="4" t="n">
        <v>1</v>
      </c>
      <c r="O291" s="4"/>
    </row>
    <row r="292" customFormat="false" ht="15" hidden="false" customHeight="false" outlineLevel="0" collapsed="false">
      <c r="A292" s="4" t="n">
        <v>23</v>
      </c>
      <c r="B292" s="4" t="s">
        <v>1028</v>
      </c>
      <c r="C292" s="4" t="s">
        <v>1029</v>
      </c>
      <c r="D292" s="4" t="s">
        <v>1030</v>
      </c>
      <c r="E292" s="4" t="s">
        <v>1063</v>
      </c>
      <c r="F292" s="4" t="s">
        <v>1064</v>
      </c>
      <c r="G292" s="4" t="s">
        <v>119</v>
      </c>
      <c r="H292" s="4" t="s">
        <v>41</v>
      </c>
      <c r="I292" s="4" t="s">
        <v>149</v>
      </c>
      <c r="J292" s="4" t="s">
        <v>1065</v>
      </c>
      <c r="K292" s="4" t="s">
        <v>655</v>
      </c>
      <c r="L292" s="4" t="s">
        <v>36</v>
      </c>
      <c r="M292" s="4" t="s">
        <v>37</v>
      </c>
      <c r="N292" s="4" t="n">
        <v>1</v>
      </c>
      <c r="O292" s="4" t="s">
        <v>1066</v>
      </c>
    </row>
    <row r="293" customFormat="false" ht="15" hidden="false" customHeight="false" outlineLevel="0" collapsed="false">
      <c r="A293" s="4" t="n">
        <v>23</v>
      </c>
      <c r="B293" s="4" t="s">
        <v>1028</v>
      </c>
      <c r="C293" s="4" t="s">
        <v>1029</v>
      </c>
      <c r="D293" s="4" t="s">
        <v>1030</v>
      </c>
      <c r="E293" s="4" t="s">
        <v>1067</v>
      </c>
      <c r="F293" s="4" t="s">
        <v>1068</v>
      </c>
      <c r="G293" s="4" t="s">
        <v>55</v>
      </c>
      <c r="H293" s="4" t="s">
        <v>1069</v>
      </c>
      <c r="I293" s="4" t="s">
        <v>149</v>
      </c>
      <c r="J293" s="4" t="s">
        <v>1070</v>
      </c>
      <c r="K293" s="4" t="s">
        <v>102</v>
      </c>
      <c r="L293" s="4" t="s">
        <v>36</v>
      </c>
      <c r="M293" s="4" t="s">
        <v>37</v>
      </c>
      <c r="N293" s="4" t="n">
        <v>1</v>
      </c>
      <c r="O293" s="4" t="s">
        <v>1071</v>
      </c>
    </row>
    <row r="294" customFormat="false" ht="15" hidden="false" customHeight="false" outlineLevel="0" collapsed="false">
      <c r="A294" s="4" t="n">
        <v>23</v>
      </c>
      <c r="B294" s="4" t="s">
        <v>1028</v>
      </c>
      <c r="C294" s="4" t="s">
        <v>1029</v>
      </c>
      <c r="D294" s="4" t="s">
        <v>1030</v>
      </c>
      <c r="E294" s="4" t="s">
        <v>1072</v>
      </c>
      <c r="F294" s="4" t="s">
        <v>1073</v>
      </c>
      <c r="G294" s="4" t="s">
        <v>119</v>
      </c>
      <c r="H294" s="4" t="s">
        <v>995</v>
      </c>
      <c r="I294" s="4" t="s">
        <v>149</v>
      </c>
      <c r="J294" s="4" t="s">
        <v>1074</v>
      </c>
      <c r="K294" s="4" t="s">
        <v>51</v>
      </c>
      <c r="L294" s="4" t="s">
        <v>36</v>
      </c>
      <c r="M294" s="4" t="s">
        <v>37</v>
      </c>
      <c r="N294" s="4" t="n">
        <v>3</v>
      </c>
      <c r="O294" s="4"/>
    </row>
    <row r="295" customFormat="false" ht="15" hidden="false" customHeight="false" outlineLevel="0" collapsed="false">
      <c r="A295" s="4" t="n">
        <v>23</v>
      </c>
      <c r="B295" s="4" t="s">
        <v>1028</v>
      </c>
      <c r="C295" s="4" t="s">
        <v>1029</v>
      </c>
      <c r="D295" s="4" t="s">
        <v>1030</v>
      </c>
      <c r="E295" s="4" t="s">
        <v>1075</v>
      </c>
      <c r="F295" s="4" t="s">
        <v>1076</v>
      </c>
      <c r="G295" s="4" t="s">
        <v>55</v>
      </c>
      <c r="H295" s="4" t="s">
        <v>1077</v>
      </c>
      <c r="I295" s="4" t="s">
        <v>149</v>
      </c>
      <c r="J295" s="4" t="s">
        <v>1065</v>
      </c>
      <c r="K295" s="4" t="s">
        <v>102</v>
      </c>
      <c r="L295" s="4" t="s">
        <v>36</v>
      </c>
      <c r="M295" s="4" t="s">
        <v>36</v>
      </c>
      <c r="N295" s="4" t="n">
        <v>1</v>
      </c>
      <c r="O295" s="4" t="s">
        <v>405</v>
      </c>
    </row>
    <row r="296" customFormat="false" ht="15" hidden="false" customHeight="false" outlineLevel="0" collapsed="false">
      <c r="A296" s="4" t="n">
        <v>23</v>
      </c>
      <c r="B296" s="4" t="s">
        <v>1028</v>
      </c>
      <c r="C296" s="4" t="s">
        <v>1029</v>
      </c>
      <c r="D296" s="4" t="s">
        <v>1030</v>
      </c>
      <c r="E296" s="4" t="s">
        <v>1078</v>
      </c>
      <c r="F296" s="4" t="s">
        <v>1079</v>
      </c>
      <c r="G296" s="4" t="s">
        <v>119</v>
      </c>
      <c r="H296" s="4" t="s">
        <v>1080</v>
      </c>
      <c r="I296" s="4" t="s">
        <v>149</v>
      </c>
      <c r="J296" s="4" t="s">
        <v>1081</v>
      </c>
      <c r="K296" s="4" t="s">
        <v>102</v>
      </c>
      <c r="L296" s="4" t="s">
        <v>36</v>
      </c>
      <c r="M296" s="4" t="s">
        <v>36</v>
      </c>
      <c r="N296" s="4" t="n">
        <v>1</v>
      </c>
      <c r="O296" s="4" t="s">
        <v>685</v>
      </c>
    </row>
    <row r="297" customFormat="false" ht="23.85" hidden="false" customHeight="false" outlineLevel="0" collapsed="false">
      <c r="A297" s="4" t="n">
        <v>23</v>
      </c>
      <c r="B297" s="4" t="s">
        <v>1028</v>
      </c>
      <c r="C297" s="4" t="s">
        <v>1029</v>
      </c>
      <c r="D297" s="4" t="s">
        <v>1030</v>
      </c>
      <c r="E297" s="4" t="s">
        <v>117</v>
      </c>
      <c r="F297" s="4" t="s">
        <v>118</v>
      </c>
      <c r="G297" s="4" t="s">
        <v>119</v>
      </c>
      <c r="H297" s="4" t="s">
        <v>41</v>
      </c>
      <c r="I297" s="4" t="s">
        <v>191</v>
      </c>
      <c r="J297" s="4" t="s">
        <v>1082</v>
      </c>
      <c r="K297" s="4" t="s">
        <v>51</v>
      </c>
      <c r="L297" s="4" t="s">
        <v>37</v>
      </c>
      <c r="M297" s="4" t="s">
        <v>37</v>
      </c>
      <c r="N297" s="4" t="n">
        <v>2</v>
      </c>
      <c r="O297" s="4"/>
    </row>
    <row r="298" customFormat="false" ht="23.85" hidden="false" customHeight="false" outlineLevel="0" collapsed="false">
      <c r="A298" s="4" t="n">
        <v>23</v>
      </c>
      <c r="B298" s="4" t="s">
        <v>1028</v>
      </c>
      <c r="C298" s="4" t="s">
        <v>1029</v>
      </c>
      <c r="D298" s="4" t="s">
        <v>1030</v>
      </c>
      <c r="E298" s="4" t="s">
        <v>170</v>
      </c>
      <c r="F298" s="4" t="s">
        <v>171</v>
      </c>
      <c r="G298" s="4" t="s">
        <v>119</v>
      </c>
      <c r="H298" s="4" t="s">
        <v>41</v>
      </c>
      <c r="I298" s="4" t="s">
        <v>191</v>
      </c>
      <c r="J298" s="4" t="s">
        <v>1070</v>
      </c>
      <c r="K298" s="4" t="s">
        <v>51</v>
      </c>
      <c r="L298" s="4" t="s">
        <v>37</v>
      </c>
      <c r="M298" s="4" t="s">
        <v>37</v>
      </c>
      <c r="N298" s="4" t="n">
        <v>3</v>
      </c>
      <c r="O298" s="4"/>
    </row>
    <row r="299" customFormat="false" ht="15" hidden="false" customHeight="false" outlineLevel="0" collapsed="false">
      <c r="A299" s="4" t="n">
        <v>23</v>
      </c>
      <c r="B299" s="4" t="s">
        <v>1028</v>
      </c>
      <c r="C299" s="4" t="s">
        <v>1029</v>
      </c>
      <c r="D299" s="4" t="s">
        <v>1030</v>
      </c>
      <c r="E299" s="4" t="s">
        <v>1083</v>
      </c>
      <c r="F299" s="4" t="s">
        <v>1084</v>
      </c>
      <c r="G299" s="4" t="s">
        <v>119</v>
      </c>
      <c r="H299" s="4" t="s">
        <v>330</v>
      </c>
      <c r="I299" s="4" t="s">
        <v>120</v>
      </c>
      <c r="J299" s="4" t="s">
        <v>1085</v>
      </c>
      <c r="K299" s="4" t="s">
        <v>102</v>
      </c>
      <c r="L299" s="4" t="s">
        <v>36</v>
      </c>
      <c r="M299" s="4" t="s">
        <v>37</v>
      </c>
      <c r="N299" s="4" t="n">
        <v>1</v>
      </c>
      <c r="O299" s="4"/>
    </row>
    <row r="300" customFormat="false" ht="15" hidden="false" customHeight="false" outlineLevel="0" collapsed="false">
      <c r="A300" s="4" t="n">
        <v>23</v>
      </c>
      <c r="B300" s="4" t="s">
        <v>1028</v>
      </c>
      <c r="C300" s="4" t="s">
        <v>1029</v>
      </c>
      <c r="D300" s="4" t="s">
        <v>1030</v>
      </c>
      <c r="E300" s="4" t="s">
        <v>1086</v>
      </c>
      <c r="F300" s="4" t="s">
        <v>1087</v>
      </c>
      <c r="G300" s="4" t="s">
        <v>119</v>
      </c>
      <c r="H300" s="4" t="s">
        <v>41</v>
      </c>
      <c r="I300" s="4" t="s">
        <v>120</v>
      </c>
      <c r="J300" s="4" t="s">
        <v>1085</v>
      </c>
      <c r="K300" s="4" t="s">
        <v>51</v>
      </c>
      <c r="L300" s="4" t="s">
        <v>36</v>
      </c>
      <c r="M300" s="4" t="s">
        <v>37</v>
      </c>
      <c r="N300" s="4" t="n">
        <v>2</v>
      </c>
      <c r="O300" s="4"/>
    </row>
    <row r="301" customFormat="false" ht="15" hidden="false" customHeight="false" outlineLevel="0" collapsed="false">
      <c r="A301" s="4" t="n">
        <v>23</v>
      </c>
      <c r="B301" s="4" t="s">
        <v>1028</v>
      </c>
      <c r="C301" s="4" t="s">
        <v>1029</v>
      </c>
      <c r="D301" s="4" t="s">
        <v>1030</v>
      </c>
      <c r="E301" s="4" t="s">
        <v>1088</v>
      </c>
      <c r="F301" s="4" t="s">
        <v>1089</v>
      </c>
      <c r="G301" s="4" t="s">
        <v>119</v>
      </c>
      <c r="H301" s="4" t="s">
        <v>1090</v>
      </c>
      <c r="I301" s="4" t="s">
        <v>120</v>
      </c>
      <c r="J301" s="4" t="s">
        <v>1091</v>
      </c>
      <c r="K301" s="4" t="s">
        <v>102</v>
      </c>
      <c r="L301" s="4" t="s">
        <v>36</v>
      </c>
      <c r="M301" s="4" t="s">
        <v>37</v>
      </c>
      <c r="N301" s="4" t="n">
        <v>1</v>
      </c>
      <c r="O301" s="4" t="s">
        <v>1092</v>
      </c>
    </row>
    <row r="302" customFormat="false" ht="15" hidden="false" customHeight="false" outlineLevel="0" collapsed="false">
      <c r="A302" s="4" t="n">
        <v>23</v>
      </c>
      <c r="B302" s="4" t="s">
        <v>1028</v>
      </c>
      <c r="C302" s="4" t="s">
        <v>1029</v>
      </c>
      <c r="D302" s="4" t="s">
        <v>1030</v>
      </c>
      <c r="E302" s="4" t="s">
        <v>1093</v>
      </c>
      <c r="F302" s="4" t="s">
        <v>1094</v>
      </c>
      <c r="G302" s="4" t="s">
        <v>55</v>
      </c>
      <c r="H302" s="4" t="s">
        <v>1095</v>
      </c>
      <c r="I302" s="4" t="s">
        <v>120</v>
      </c>
      <c r="J302" s="4" t="s">
        <v>1091</v>
      </c>
      <c r="K302" s="4" t="s">
        <v>102</v>
      </c>
      <c r="L302" s="4" t="s">
        <v>36</v>
      </c>
      <c r="M302" s="4" t="s">
        <v>37</v>
      </c>
      <c r="N302" s="4" t="n">
        <v>1</v>
      </c>
      <c r="O302" s="4" t="s">
        <v>1096</v>
      </c>
    </row>
    <row r="303" customFormat="false" ht="15" hidden="false" customHeight="false" outlineLevel="0" collapsed="false">
      <c r="A303" s="4" t="n">
        <v>24</v>
      </c>
      <c r="B303" s="4" t="s">
        <v>1097</v>
      </c>
      <c r="C303" s="4" t="s">
        <v>1098</v>
      </c>
      <c r="D303" s="4" t="s">
        <v>1099</v>
      </c>
      <c r="E303" s="4" t="s">
        <v>1100</v>
      </c>
      <c r="F303" s="4" t="s">
        <v>1101</v>
      </c>
      <c r="G303" s="4" t="s">
        <v>119</v>
      </c>
      <c r="H303" s="4" t="s">
        <v>330</v>
      </c>
      <c r="I303" s="4" t="s">
        <v>93</v>
      </c>
      <c r="J303" s="4" t="s">
        <v>1102</v>
      </c>
      <c r="K303" s="4" t="s">
        <v>51</v>
      </c>
      <c r="L303" s="4" t="s">
        <v>36</v>
      </c>
      <c r="M303" s="4" t="s">
        <v>36</v>
      </c>
      <c r="N303" s="4" t="n">
        <v>1</v>
      </c>
      <c r="O303" s="4" t="s">
        <v>673</v>
      </c>
    </row>
    <row r="304" customFormat="false" ht="15" hidden="false" customHeight="false" outlineLevel="0" collapsed="false">
      <c r="A304" s="4" t="n">
        <v>24</v>
      </c>
      <c r="B304" s="4" t="s">
        <v>1097</v>
      </c>
      <c r="C304" s="4" t="s">
        <v>1098</v>
      </c>
      <c r="D304" s="4" t="s">
        <v>1099</v>
      </c>
      <c r="E304" s="4" t="s">
        <v>1103</v>
      </c>
      <c r="F304" s="4" t="s">
        <v>1104</v>
      </c>
      <c r="G304" s="4" t="s">
        <v>55</v>
      </c>
      <c r="H304" s="4" t="s">
        <v>330</v>
      </c>
      <c r="I304" s="4" t="s">
        <v>93</v>
      </c>
      <c r="J304" s="4" t="s">
        <v>1105</v>
      </c>
      <c r="K304" s="4" t="s">
        <v>51</v>
      </c>
      <c r="L304" s="4" t="s">
        <v>36</v>
      </c>
      <c r="M304" s="4" t="s">
        <v>36</v>
      </c>
      <c r="N304" s="4" t="n">
        <v>1</v>
      </c>
      <c r="O304" s="4"/>
    </row>
    <row r="305" customFormat="false" ht="15" hidden="false" customHeight="false" outlineLevel="0" collapsed="false">
      <c r="A305" s="4" t="n">
        <v>24</v>
      </c>
      <c r="B305" s="4" t="s">
        <v>1097</v>
      </c>
      <c r="C305" s="4" t="s">
        <v>1098</v>
      </c>
      <c r="D305" s="4" t="s">
        <v>1099</v>
      </c>
      <c r="E305" s="4" t="s">
        <v>1106</v>
      </c>
      <c r="F305" s="4" t="s">
        <v>1107</v>
      </c>
      <c r="G305" s="4" t="s">
        <v>119</v>
      </c>
      <c r="H305" s="4" t="s">
        <v>450</v>
      </c>
      <c r="I305" s="4" t="s">
        <v>93</v>
      </c>
      <c r="J305" s="4" t="s">
        <v>1108</v>
      </c>
      <c r="K305" s="4" t="s">
        <v>51</v>
      </c>
      <c r="L305" s="4" t="s">
        <v>36</v>
      </c>
      <c r="M305" s="4" t="s">
        <v>36</v>
      </c>
      <c r="N305" s="4" t="n">
        <v>1</v>
      </c>
      <c r="O305" s="4" t="s">
        <v>1109</v>
      </c>
    </row>
    <row r="306" customFormat="false" ht="15" hidden="false" customHeight="false" outlineLevel="0" collapsed="false">
      <c r="A306" s="4" t="n">
        <v>24</v>
      </c>
      <c r="B306" s="4" t="s">
        <v>1097</v>
      </c>
      <c r="C306" s="4" t="s">
        <v>1098</v>
      </c>
      <c r="D306" s="4" t="s">
        <v>1099</v>
      </c>
      <c r="E306" s="4" t="s">
        <v>1110</v>
      </c>
      <c r="F306" s="4" t="s">
        <v>1111</v>
      </c>
      <c r="G306" s="4" t="s">
        <v>119</v>
      </c>
      <c r="H306" s="4" t="s">
        <v>1112</v>
      </c>
      <c r="I306" s="4" t="s">
        <v>93</v>
      </c>
      <c r="J306" s="4" t="s">
        <v>1113</v>
      </c>
      <c r="K306" s="4" t="s">
        <v>51</v>
      </c>
      <c r="L306" s="4" t="s">
        <v>36</v>
      </c>
      <c r="M306" s="4" t="s">
        <v>37</v>
      </c>
      <c r="N306" s="4" t="n">
        <v>2</v>
      </c>
      <c r="O306" s="4" t="s">
        <v>673</v>
      </c>
    </row>
    <row r="307" customFormat="false" ht="15" hidden="false" customHeight="false" outlineLevel="0" collapsed="false">
      <c r="A307" s="4" t="n">
        <v>24</v>
      </c>
      <c r="B307" s="4" t="s">
        <v>1097</v>
      </c>
      <c r="C307" s="4" t="s">
        <v>1098</v>
      </c>
      <c r="D307" s="4" t="s">
        <v>1099</v>
      </c>
      <c r="E307" s="4" t="s">
        <v>1114</v>
      </c>
      <c r="F307" s="4" t="s">
        <v>1115</v>
      </c>
      <c r="G307" s="4" t="s">
        <v>55</v>
      </c>
      <c r="H307" s="4" t="s">
        <v>988</v>
      </c>
      <c r="I307" s="4" t="s">
        <v>149</v>
      </c>
      <c r="J307" s="4" t="s">
        <v>1116</v>
      </c>
      <c r="K307" s="4" t="s">
        <v>102</v>
      </c>
      <c r="L307" s="4" t="s">
        <v>36</v>
      </c>
      <c r="M307" s="4" t="s">
        <v>37</v>
      </c>
      <c r="N307" s="4" t="n">
        <v>1</v>
      </c>
      <c r="O307" s="4"/>
    </row>
    <row r="308" customFormat="false" ht="15" hidden="false" customHeight="false" outlineLevel="0" collapsed="false">
      <c r="A308" s="4" t="n">
        <v>24</v>
      </c>
      <c r="B308" s="4" t="s">
        <v>1097</v>
      </c>
      <c r="C308" s="4" t="s">
        <v>1098</v>
      </c>
      <c r="D308" s="4" t="s">
        <v>1099</v>
      </c>
      <c r="E308" s="4" t="s">
        <v>1117</v>
      </c>
      <c r="F308" s="4" t="s">
        <v>1118</v>
      </c>
      <c r="G308" s="4" t="s">
        <v>114</v>
      </c>
      <c r="H308" s="4" t="s">
        <v>162</v>
      </c>
      <c r="I308" s="4" t="s">
        <v>149</v>
      </c>
      <c r="J308" s="4" t="s">
        <v>1119</v>
      </c>
      <c r="K308" s="4" t="s">
        <v>102</v>
      </c>
      <c r="L308" s="4" t="s">
        <v>36</v>
      </c>
      <c r="M308" s="4" t="s">
        <v>37</v>
      </c>
      <c r="N308" s="4" t="n">
        <v>1</v>
      </c>
      <c r="O308" s="4"/>
    </row>
    <row r="309" customFormat="false" ht="15" hidden="false" customHeight="false" outlineLevel="0" collapsed="false">
      <c r="A309" s="4" t="n">
        <v>24</v>
      </c>
      <c r="B309" s="4" t="s">
        <v>1097</v>
      </c>
      <c r="C309" s="4" t="s">
        <v>1098</v>
      </c>
      <c r="D309" s="4" t="s">
        <v>1099</v>
      </c>
      <c r="E309" s="4" t="s">
        <v>1120</v>
      </c>
      <c r="F309" s="4" t="s">
        <v>1121</v>
      </c>
      <c r="G309" s="4" t="s">
        <v>114</v>
      </c>
      <c r="H309" s="4" t="s">
        <v>1122</v>
      </c>
      <c r="I309" s="4" t="s">
        <v>149</v>
      </c>
      <c r="J309" s="4" t="s">
        <v>1123</v>
      </c>
      <c r="K309" s="4" t="s">
        <v>102</v>
      </c>
      <c r="L309" s="4" t="s">
        <v>36</v>
      </c>
      <c r="M309" s="4" t="s">
        <v>37</v>
      </c>
      <c r="N309" s="4" t="n">
        <v>1</v>
      </c>
      <c r="O309" s="4" t="s">
        <v>1124</v>
      </c>
    </row>
    <row r="310" customFormat="false" ht="15" hidden="false" customHeight="false" outlineLevel="0" collapsed="false">
      <c r="A310" s="4" t="n">
        <v>24</v>
      </c>
      <c r="B310" s="4" t="s">
        <v>1097</v>
      </c>
      <c r="C310" s="4" t="s">
        <v>1098</v>
      </c>
      <c r="D310" s="4" t="s">
        <v>1099</v>
      </c>
      <c r="E310" s="4" t="s">
        <v>1125</v>
      </c>
      <c r="F310" s="4" t="s">
        <v>1126</v>
      </c>
      <c r="G310" s="4" t="s">
        <v>119</v>
      </c>
      <c r="H310" s="4" t="s">
        <v>1127</v>
      </c>
      <c r="I310" s="4" t="s">
        <v>120</v>
      </c>
      <c r="J310" s="4" t="s">
        <v>1128</v>
      </c>
      <c r="K310" s="4" t="s">
        <v>51</v>
      </c>
      <c r="L310" s="4" t="s">
        <v>36</v>
      </c>
      <c r="M310" s="4" t="s">
        <v>37</v>
      </c>
      <c r="N310" s="4" t="n">
        <v>1</v>
      </c>
      <c r="O310" s="4" t="s">
        <v>1129</v>
      </c>
    </row>
    <row r="311" customFormat="false" ht="15" hidden="false" customHeight="false" outlineLevel="0" collapsed="false">
      <c r="A311" s="4" t="n">
        <v>24</v>
      </c>
      <c r="B311" s="4" t="s">
        <v>1097</v>
      </c>
      <c r="C311" s="4" t="s">
        <v>1098</v>
      </c>
      <c r="D311" s="4" t="s">
        <v>1099</v>
      </c>
      <c r="E311" s="4" t="s">
        <v>1130</v>
      </c>
      <c r="F311" s="4" t="s">
        <v>1131</v>
      </c>
      <c r="G311" s="4" t="s">
        <v>119</v>
      </c>
      <c r="H311" s="4" t="s">
        <v>1132</v>
      </c>
      <c r="I311" s="4" t="s">
        <v>120</v>
      </c>
      <c r="J311" s="4" t="s">
        <v>1128</v>
      </c>
      <c r="K311" s="4" t="s">
        <v>51</v>
      </c>
      <c r="L311" s="4" t="s">
        <v>36</v>
      </c>
      <c r="M311" s="4" t="s">
        <v>37</v>
      </c>
      <c r="N311" s="4" t="n">
        <v>1</v>
      </c>
      <c r="O311" s="4" t="s">
        <v>1133</v>
      </c>
    </row>
    <row r="312" customFormat="false" ht="15" hidden="false" customHeight="false" outlineLevel="0" collapsed="false">
      <c r="A312" s="4" t="n">
        <v>24</v>
      </c>
      <c r="B312" s="4" t="s">
        <v>1097</v>
      </c>
      <c r="C312" s="4" t="s">
        <v>1098</v>
      </c>
      <c r="D312" s="4" t="s">
        <v>1099</v>
      </c>
      <c r="E312" s="4" t="s">
        <v>1134</v>
      </c>
      <c r="F312" s="4" t="s">
        <v>1135</v>
      </c>
      <c r="G312" s="4" t="s">
        <v>176</v>
      </c>
      <c r="H312" s="4" t="s">
        <v>450</v>
      </c>
      <c r="I312" s="4" t="s">
        <v>120</v>
      </c>
      <c r="J312" s="4" t="s">
        <v>1136</v>
      </c>
      <c r="K312" s="4" t="s">
        <v>102</v>
      </c>
      <c r="L312" s="4" t="s">
        <v>36</v>
      </c>
      <c r="M312" s="4" t="s">
        <v>37</v>
      </c>
      <c r="N312" s="4" t="n">
        <v>1</v>
      </c>
      <c r="O312" s="4" t="s">
        <v>253</v>
      </c>
    </row>
    <row r="313" customFormat="false" ht="23.85" hidden="false" customHeight="false" outlineLevel="0" collapsed="false">
      <c r="A313" s="4" t="n">
        <v>25</v>
      </c>
      <c r="B313" s="4" t="s">
        <v>1137</v>
      </c>
      <c r="C313" s="4" t="s">
        <v>1138</v>
      </c>
      <c r="D313" s="4" t="s">
        <v>1139</v>
      </c>
      <c r="E313" s="4" t="s">
        <v>1140</v>
      </c>
      <c r="F313" s="4" t="s">
        <v>1141</v>
      </c>
      <c r="G313" s="4" t="s">
        <v>55</v>
      </c>
      <c r="H313" s="4" t="s">
        <v>1142</v>
      </c>
      <c r="I313" s="4" t="s">
        <v>184</v>
      </c>
      <c r="J313" s="4" t="s">
        <v>1143</v>
      </c>
      <c r="K313" s="4" t="s">
        <v>51</v>
      </c>
      <c r="L313" s="4" t="s">
        <v>36</v>
      </c>
      <c r="M313" s="4" t="s">
        <v>37</v>
      </c>
      <c r="N313" s="4" t="n">
        <v>1</v>
      </c>
      <c r="O313" s="4" t="s">
        <v>1144</v>
      </c>
    </row>
    <row r="314" customFormat="false" ht="15" hidden="false" customHeight="false" outlineLevel="0" collapsed="false">
      <c r="A314" s="4" t="n">
        <v>25</v>
      </c>
      <c r="B314" s="4" t="s">
        <v>1137</v>
      </c>
      <c r="C314" s="4" t="s">
        <v>1138</v>
      </c>
      <c r="D314" s="4" t="s">
        <v>1139</v>
      </c>
      <c r="E314" s="4" t="s">
        <v>1145</v>
      </c>
      <c r="F314" s="4" t="s">
        <v>1146</v>
      </c>
      <c r="G314" s="4" t="s">
        <v>119</v>
      </c>
      <c r="H314" s="4" t="s">
        <v>450</v>
      </c>
      <c r="I314" s="4" t="s">
        <v>184</v>
      </c>
      <c r="J314" s="4" t="s">
        <v>1147</v>
      </c>
      <c r="K314" s="4" t="s">
        <v>51</v>
      </c>
      <c r="L314" s="4" t="s">
        <v>36</v>
      </c>
      <c r="M314" s="4" t="s">
        <v>37</v>
      </c>
      <c r="N314" s="4" t="n">
        <v>1</v>
      </c>
      <c r="O314" s="4"/>
    </row>
    <row r="315" customFormat="false" ht="15" hidden="false" customHeight="false" outlineLevel="0" collapsed="false">
      <c r="A315" s="4" t="n">
        <v>25</v>
      </c>
      <c r="B315" s="4" t="s">
        <v>1137</v>
      </c>
      <c r="C315" s="4" t="s">
        <v>1138</v>
      </c>
      <c r="D315" s="4" t="s">
        <v>1139</v>
      </c>
      <c r="E315" s="4" t="s">
        <v>1148</v>
      </c>
      <c r="F315" s="4" t="s">
        <v>1149</v>
      </c>
      <c r="G315" s="4" t="s">
        <v>55</v>
      </c>
      <c r="H315" s="4" t="s">
        <v>1150</v>
      </c>
      <c r="I315" s="4" t="s">
        <v>184</v>
      </c>
      <c r="J315" s="4" t="s">
        <v>1151</v>
      </c>
      <c r="K315" s="4" t="s">
        <v>102</v>
      </c>
      <c r="L315" s="4" t="s">
        <v>36</v>
      </c>
      <c r="M315" s="4" t="s">
        <v>37</v>
      </c>
      <c r="N315" s="4" t="n">
        <v>1</v>
      </c>
      <c r="O315" s="4"/>
    </row>
    <row r="316" customFormat="false" ht="15" hidden="false" customHeight="false" outlineLevel="0" collapsed="false">
      <c r="A316" s="4" t="n">
        <v>25</v>
      </c>
      <c r="B316" s="4" t="s">
        <v>1137</v>
      </c>
      <c r="C316" s="4" t="s">
        <v>1138</v>
      </c>
      <c r="D316" s="4" t="s">
        <v>1139</v>
      </c>
      <c r="E316" s="4" t="s">
        <v>1152</v>
      </c>
      <c r="F316" s="4" t="s">
        <v>1153</v>
      </c>
      <c r="G316" s="4" t="s">
        <v>114</v>
      </c>
      <c r="H316" s="4" t="s">
        <v>1154</v>
      </c>
      <c r="I316" s="4" t="s">
        <v>184</v>
      </c>
      <c r="J316" s="4" t="s">
        <v>1155</v>
      </c>
      <c r="K316" s="4" t="s">
        <v>51</v>
      </c>
      <c r="L316" s="4" t="s">
        <v>36</v>
      </c>
      <c r="M316" s="4" t="s">
        <v>36</v>
      </c>
      <c r="N316" s="4" t="n">
        <v>1</v>
      </c>
      <c r="O316" s="4" t="s">
        <v>1156</v>
      </c>
    </row>
    <row r="317" customFormat="false" ht="15" hidden="false" customHeight="false" outlineLevel="0" collapsed="false">
      <c r="A317" s="4" t="n">
        <v>25</v>
      </c>
      <c r="B317" s="4" t="s">
        <v>1137</v>
      </c>
      <c r="C317" s="4" t="s">
        <v>1138</v>
      </c>
      <c r="D317" s="4" t="s">
        <v>1139</v>
      </c>
      <c r="E317" s="4" t="s">
        <v>1157</v>
      </c>
      <c r="F317" s="4" t="s">
        <v>1158</v>
      </c>
      <c r="G317" s="4" t="s">
        <v>55</v>
      </c>
      <c r="H317" s="4" t="s">
        <v>1159</v>
      </c>
      <c r="I317" s="4" t="s">
        <v>184</v>
      </c>
      <c r="J317" s="4" t="s">
        <v>1160</v>
      </c>
      <c r="K317" s="4" t="s">
        <v>51</v>
      </c>
      <c r="L317" s="4" t="s">
        <v>36</v>
      </c>
      <c r="M317" s="4" t="s">
        <v>37</v>
      </c>
      <c r="N317" s="4" t="n">
        <v>1</v>
      </c>
      <c r="O317" s="4" t="s">
        <v>1161</v>
      </c>
    </row>
    <row r="318" customFormat="false" ht="15" hidden="false" customHeight="false" outlineLevel="0" collapsed="false">
      <c r="A318" s="4" t="n">
        <v>25</v>
      </c>
      <c r="B318" s="4" t="s">
        <v>1137</v>
      </c>
      <c r="C318" s="4" t="s">
        <v>1138</v>
      </c>
      <c r="D318" s="4" t="s">
        <v>1139</v>
      </c>
      <c r="E318" s="4" t="s">
        <v>1162</v>
      </c>
      <c r="F318" s="4" t="s">
        <v>1163</v>
      </c>
      <c r="G318" s="4" t="s">
        <v>119</v>
      </c>
      <c r="H318" s="4" t="s">
        <v>1164</v>
      </c>
      <c r="I318" s="4" t="s">
        <v>184</v>
      </c>
      <c r="J318" s="4" t="s">
        <v>1165</v>
      </c>
      <c r="K318" s="4" t="s">
        <v>102</v>
      </c>
      <c r="L318" s="4" t="s">
        <v>36</v>
      </c>
      <c r="M318" s="4" t="s">
        <v>36</v>
      </c>
      <c r="N318" s="4" t="n">
        <v>1</v>
      </c>
      <c r="O318" s="4" t="s">
        <v>1166</v>
      </c>
    </row>
    <row r="319" customFormat="false" ht="15" hidden="false" customHeight="false" outlineLevel="0" collapsed="false">
      <c r="A319" s="4" t="n">
        <v>25</v>
      </c>
      <c r="B319" s="4" t="s">
        <v>1137</v>
      </c>
      <c r="C319" s="4" t="s">
        <v>1138</v>
      </c>
      <c r="D319" s="4" t="s">
        <v>1139</v>
      </c>
      <c r="E319" s="4" t="s">
        <v>1167</v>
      </c>
      <c r="F319" s="4" t="s">
        <v>1168</v>
      </c>
      <c r="G319" s="4" t="s">
        <v>55</v>
      </c>
      <c r="H319" s="4" t="s">
        <v>235</v>
      </c>
      <c r="I319" s="4" t="s">
        <v>184</v>
      </c>
      <c r="J319" s="4" t="s">
        <v>1169</v>
      </c>
      <c r="K319" s="4" t="s">
        <v>51</v>
      </c>
      <c r="L319" s="4" t="s">
        <v>36</v>
      </c>
      <c r="M319" s="4" t="s">
        <v>37</v>
      </c>
      <c r="N319" s="4" t="n">
        <v>1</v>
      </c>
      <c r="O319" s="4"/>
    </row>
    <row r="320" customFormat="false" ht="15" hidden="false" customHeight="false" outlineLevel="0" collapsed="false">
      <c r="A320" s="4" t="n">
        <v>25</v>
      </c>
      <c r="B320" s="4" t="s">
        <v>1137</v>
      </c>
      <c r="C320" s="4" t="s">
        <v>1138</v>
      </c>
      <c r="D320" s="4" t="s">
        <v>1139</v>
      </c>
      <c r="E320" s="4" t="s">
        <v>1170</v>
      </c>
      <c r="F320" s="4" t="s">
        <v>1171</v>
      </c>
      <c r="G320" s="4" t="s">
        <v>119</v>
      </c>
      <c r="H320" s="4" t="s">
        <v>177</v>
      </c>
      <c r="I320" s="4" t="s">
        <v>184</v>
      </c>
      <c r="J320" s="4" t="s">
        <v>1160</v>
      </c>
      <c r="K320" s="4" t="s">
        <v>51</v>
      </c>
      <c r="L320" s="4" t="s">
        <v>36</v>
      </c>
      <c r="M320" s="4" t="s">
        <v>37</v>
      </c>
      <c r="N320" s="4" t="n">
        <v>1</v>
      </c>
      <c r="O320" s="4"/>
    </row>
    <row r="321" customFormat="false" ht="15" hidden="false" customHeight="false" outlineLevel="0" collapsed="false">
      <c r="A321" s="4" t="n">
        <v>25</v>
      </c>
      <c r="B321" s="4" t="s">
        <v>1137</v>
      </c>
      <c r="C321" s="4" t="s">
        <v>1138</v>
      </c>
      <c r="D321" s="4" t="s">
        <v>1139</v>
      </c>
      <c r="E321" s="4" t="s">
        <v>1172</v>
      </c>
      <c r="F321" s="4" t="s">
        <v>1173</v>
      </c>
      <c r="G321" s="4" t="s">
        <v>119</v>
      </c>
      <c r="H321" s="4" t="s">
        <v>1174</v>
      </c>
      <c r="I321" s="4" t="s">
        <v>184</v>
      </c>
      <c r="J321" s="4" t="s">
        <v>1175</v>
      </c>
      <c r="K321" s="4" t="s">
        <v>102</v>
      </c>
      <c r="L321" s="4" t="s">
        <v>36</v>
      </c>
      <c r="M321" s="4" t="s">
        <v>37</v>
      </c>
      <c r="N321" s="4" t="n">
        <v>1</v>
      </c>
      <c r="O321" s="4" t="s">
        <v>1176</v>
      </c>
    </row>
    <row r="322" customFormat="false" ht="15" hidden="false" customHeight="false" outlineLevel="0" collapsed="false">
      <c r="A322" s="4" t="n">
        <v>25</v>
      </c>
      <c r="B322" s="4" t="s">
        <v>1137</v>
      </c>
      <c r="C322" s="4" t="s">
        <v>1138</v>
      </c>
      <c r="D322" s="4" t="s">
        <v>1139</v>
      </c>
      <c r="E322" s="4" t="s">
        <v>1177</v>
      </c>
      <c r="F322" s="4" t="s">
        <v>1178</v>
      </c>
      <c r="G322" s="4" t="s">
        <v>55</v>
      </c>
      <c r="H322" s="4" t="s">
        <v>1179</v>
      </c>
      <c r="I322" s="4" t="s">
        <v>184</v>
      </c>
      <c r="J322" s="4" t="s">
        <v>1175</v>
      </c>
      <c r="K322" s="4" t="s">
        <v>51</v>
      </c>
      <c r="L322" s="4" t="s">
        <v>36</v>
      </c>
      <c r="M322" s="4" t="s">
        <v>37</v>
      </c>
      <c r="N322" s="4" t="n">
        <v>1</v>
      </c>
      <c r="O322" s="4"/>
    </row>
    <row r="323" customFormat="false" ht="15" hidden="false" customHeight="false" outlineLevel="0" collapsed="false">
      <c r="A323" s="4" t="n">
        <v>26</v>
      </c>
      <c r="B323" s="4" t="s">
        <v>1180</v>
      </c>
      <c r="C323" s="4" t="s">
        <v>1181</v>
      </c>
      <c r="D323" s="4" t="s">
        <v>1182</v>
      </c>
      <c r="E323" s="4" t="s">
        <v>1183</v>
      </c>
      <c r="F323" s="4" t="s">
        <v>1184</v>
      </c>
      <c r="G323" s="4" t="s">
        <v>119</v>
      </c>
      <c r="H323" s="4" t="s">
        <v>41</v>
      </c>
      <c r="I323" s="4" t="s">
        <v>93</v>
      </c>
      <c r="J323" s="4" t="s">
        <v>1185</v>
      </c>
      <c r="K323" s="4" t="s">
        <v>51</v>
      </c>
      <c r="L323" s="4" t="s">
        <v>36</v>
      </c>
      <c r="M323" s="4" t="s">
        <v>37</v>
      </c>
      <c r="N323" s="4" t="n">
        <v>1</v>
      </c>
      <c r="O323" s="4" t="s">
        <v>673</v>
      </c>
    </row>
    <row r="324" customFormat="false" ht="15" hidden="false" customHeight="false" outlineLevel="0" collapsed="false">
      <c r="A324" s="4" t="n">
        <v>26</v>
      </c>
      <c r="B324" s="4" t="s">
        <v>1180</v>
      </c>
      <c r="C324" s="4" t="s">
        <v>1181</v>
      </c>
      <c r="D324" s="4" t="s">
        <v>1182</v>
      </c>
      <c r="E324" s="4" t="s">
        <v>1186</v>
      </c>
      <c r="F324" s="4" t="s">
        <v>1187</v>
      </c>
      <c r="G324" s="4" t="s">
        <v>119</v>
      </c>
      <c r="H324" s="4" t="s">
        <v>41</v>
      </c>
      <c r="I324" s="4" t="s">
        <v>93</v>
      </c>
      <c r="J324" s="4" t="s">
        <v>1188</v>
      </c>
      <c r="K324" s="4" t="s">
        <v>51</v>
      </c>
      <c r="L324" s="4" t="s">
        <v>36</v>
      </c>
      <c r="M324" s="4" t="s">
        <v>37</v>
      </c>
      <c r="N324" s="4" t="n">
        <v>1</v>
      </c>
      <c r="O324" s="4"/>
    </row>
    <row r="325" customFormat="false" ht="15" hidden="false" customHeight="false" outlineLevel="0" collapsed="false">
      <c r="A325" s="4" t="n">
        <v>26</v>
      </c>
      <c r="B325" s="4" t="s">
        <v>1180</v>
      </c>
      <c r="C325" s="4" t="s">
        <v>1181</v>
      </c>
      <c r="D325" s="4" t="s">
        <v>1182</v>
      </c>
      <c r="E325" s="4" t="s">
        <v>1189</v>
      </c>
      <c r="F325" s="4" t="s">
        <v>1190</v>
      </c>
      <c r="G325" s="4" t="s">
        <v>55</v>
      </c>
      <c r="H325" s="4" t="s">
        <v>41</v>
      </c>
      <c r="I325" s="4" t="s">
        <v>93</v>
      </c>
      <c r="J325" s="4" t="s">
        <v>1191</v>
      </c>
      <c r="K325" s="4" t="s">
        <v>51</v>
      </c>
      <c r="L325" s="4" t="s">
        <v>36</v>
      </c>
      <c r="M325" s="4" t="s">
        <v>37</v>
      </c>
      <c r="N325" s="4" t="n">
        <v>1</v>
      </c>
      <c r="O325" s="4"/>
    </row>
    <row r="326" customFormat="false" ht="15" hidden="false" customHeight="false" outlineLevel="0" collapsed="false">
      <c r="A326" s="4" t="n">
        <v>26</v>
      </c>
      <c r="B326" s="4" t="s">
        <v>1180</v>
      </c>
      <c r="C326" s="4" t="s">
        <v>1181</v>
      </c>
      <c r="D326" s="4" t="s">
        <v>1182</v>
      </c>
      <c r="E326" s="4" t="s">
        <v>1192</v>
      </c>
      <c r="F326" s="4" t="s">
        <v>1193</v>
      </c>
      <c r="G326" s="4" t="s">
        <v>55</v>
      </c>
      <c r="H326" s="4" t="s">
        <v>1194</v>
      </c>
      <c r="I326" s="4" t="s">
        <v>93</v>
      </c>
      <c r="J326" s="4" t="s">
        <v>1195</v>
      </c>
      <c r="K326" s="4" t="s">
        <v>51</v>
      </c>
      <c r="L326" s="4" t="s">
        <v>36</v>
      </c>
      <c r="M326" s="4" t="s">
        <v>37</v>
      </c>
      <c r="N326" s="4" t="n">
        <v>1</v>
      </c>
      <c r="O326" s="4" t="s">
        <v>1196</v>
      </c>
    </row>
    <row r="327" customFormat="false" ht="23.85" hidden="false" customHeight="false" outlineLevel="0" collapsed="false">
      <c r="A327" s="4" t="n">
        <v>26</v>
      </c>
      <c r="B327" s="4" t="s">
        <v>1180</v>
      </c>
      <c r="C327" s="4" t="s">
        <v>1181</v>
      </c>
      <c r="D327" s="4" t="s">
        <v>1182</v>
      </c>
      <c r="E327" s="4" t="s">
        <v>1197</v>
      </c>
      <c r="F327" s="4" t="s">
        <v>1198</v>
      </c>
      <c r="G327" s="4" t="s">
        <v>55</v>
      </c>
      <c r="H327" s="4" t="s">
        <v>41</v>
      </c>
      <c r="I327" s="4" t="s">
        <v>149</v>
      </c>
      <c r="J327" s="4" t="s">
        <v>1199</v>
      </c>
      <c r="K327" s="4" t="s">
        <v>1200</v>
      </c>
      <c r="L327" s="4" t="s">
        <v>36</v>
      </c>
      <c r="M327" s="4" t="s">
        <v>37</v>
      </c>
      <c r="N327" s="4" t="n">
        <v>1</v>
      </c>
      <c r="O327" s="4" t="s">
        <v>1201</v>
      </c>
    </row>
    <row r="328" customFormat="false" ht="23.85" hidden="false" customHeight="false" outlineLevel="0" collapsed="false">
      <c r="A328" s="4" t="n">
        <v>26</v>
      </c>
      <c r="B328" s="4" t="s">
        <v>1180</v>
      </c>
      <c r="C328" s="4" t="s">
        <v>1181</v>
      </c>
      <c r="D328" s="4" t="s">
        <v>1182</v>
      </c>
      <c r="E328" s="4" t="s">
        <v>1202</v>
      </c>
      <c r="F328" s="4" t="s">
        <v>1203</v>
      </c>
      <c r="G328" s="4" t="s">
        <v>55</v>
      </c>
      <c r="H328" s="4" t="s">
        <v>41</v>
      </c>
      <c r="I328" s="4" t="s">
        <v>149</v>
      </c>
      <c r="J328" s="4" t="s">
        <v>1188</v>
      </c>
      <c r="K328" s="4" t="s">
        <v>1200</v>
      </c>
      <c r="L328" s="4" t="s">
        <v>36</v>
      </c>
      <c r="M328" s="4" t="s">
        <v>37</v>
      </c>
      <c r="N328" s="4" t="n">
        <v>1</v>
      </c>
      <c r="O328" s="4" t="s">
        <v>1204</v>
      </c>
    </row>
    <row r="329" customFormat="false" ht="15" hidden="false" customHeight="false" outlineLevel="0" collapsed="false">
      <c r="A329" s="4" t="n">
        <v>26</v>
      </c>
      <c r="B329" s="4" t="s">
        <v>1180</v>
      </c>
      <c r="C329" s="4" t="s">
        <v>1181</v>
      </c>
      <c r="D329" s="4" t="s">
        <v>1182</v>
      </c>
      <c r="E329" s="4" t="s">
        <v>1205</v>
      </c>
      <c r="F329" s="4" t="s">
        <v>1206</v>
      </c>
      <c r="G329" s="4" t="s">
        <v>55</v>
      </c>
      <c r="H329" s="4" t="s">
        <v>153</v>
      </c>
      <c r="I329" s="4" t="s">
        <v>149</v>
      </c>
      <c r="J329" s="4" t="s">
        <v>1207</v>
      </c>
      <c r="K329" s="4" t="s">
        <v>1059</v>
      </c>
      <c r="L329" s="4" t="s">
        <v>36</v>
      </c>
      <c r="M329" s="4" t="s">
        <v>37</v>
      </c>
      <c r="N329" s="4" t="n">
        <v>2</v>
      </c>
      <c r="O329" s="4"/>
    </row>
    <row r="330" customFormat="false" ht="15" hidden="false" customHeight="false" outlineLevel="0" collapsed="false">
      <c r="A330" s="4" t="n">
        <v>26</v>
      </c>
      <c r="B330" s="4" t="s">
        <v>1180</v>
      </c>
      <c r="C330" s="4" t="s">
        <v>1181</v>
      </c>
      <c r="D330" s="4" t="s">
        <v>1182</v>
      </c>
      <c r="E330" s="4" t="s">
        <v>1208</v>
      </c>
      <c r="F330" s="4" t="s">
        <v>1209</v>
      </c>
      <c r="G330" s="4" t="s">
        <v>55</v>
      </c>
      <c r="H330" s="4" t="s">
        <v>382</v>
      </c>
      <c r="I330" s="4" t="s">
        <v>149</v>
      </c>
      <c r="J330" s="4" t="s">
        <v>1199</v>
      </c>
      <c r="K330" s="4" t="s">
        <v>51</v>
      </c>
      <c r="L330" s="4" t="s">
        <v>36</v>
      </c>
      <c r="M330" s="4" t="s">
        <v>36</v>
      </c>
      <c r="N330" s="4" t="n">
        <v>1</v>
      </c>
      <c r="O330" s="4"/>
    </row>
    <row r="331" customFormat="false" ht="15" hidden="false" customHeight="false" outlineLevel="0" collapsed="false">
      <c r="A331" s="4" t="n">
        <v>26</v>
      </c>
      <c r="B331" s="4" t="s">
        <v>1180</v>
      </c>
      <c r="C331" s="4" t="s">
        <v>1181</v>
      </c>
      <c r="D331" s="4" t="s">
        <v>1182</v>
      </c>
      <c r="E331" s="4" t="s">
        <v>1210</v>
      </c>
      <c r="F331" s="4" t="s">
        <v>1211</v>
      </c>
      <c r="G331" s="4" t="s">
        <v>55</v>
      </c>
      <c r="H331" s="4" t="s">
        <v>153</v>
      </c>
      <c r="I331" s="4" t="s">
        <v>149</v>
      </c>
      <c r="J331" s="4" t="s">
        <v>1212</v>
      </c>
      <c r="K331" s="4" t="s">
        <v>102</v>
      </c>
      <c r="L331" s="4" t="s">
        <v>36</v>
      </c>
      <c r="M331" s="4" t="s">
        <v>36</v>
      </c>
      <c r="N331" s="4" t="n">
        <v>1</v>
      </c>
      <c r="O331" s="4"/>
    </row>
    <row r="332" customFormat="false" ht="15" hidden="false" customHeight="false" outlineLevel="0" collapsed="false">
      <c r="A332" s="4" t="n">
        <v>26</v>
      </c>
      <c r="B332" s="4" t="s">
        <v>1180</v>
      </c>
      <c r="C332" s="4" t="s">
        <v>1181</v>
      </c>
      <c r="D332" s="4" t="s">
        <v>1182</v>
      </c>
      <c r="E332" s="4" t="s">
        <v>1213</v>
      </c>
      <c r="F332" s="4" t="s">
        <v>1214</v>
      </c>
      <c r="G332" s="4" t="s">
        <v>114</v>
      </c>
      <c r="H332" s="4" t="s">
        <v>41</v>
      </c>
      <c r="I332" s="4" t="s">
        <v>149</v>
      </c>
      <c r="J332" s="4" t="s">
        <v>1215</v>
      </c>
      <c r="K332" s="4" t="s">
        <v>102</v>
      </c>
      <c r="L332" s="4" t="s">
        <v>36</v>
      </c>
      <c r="M332" s="4" t="s">
        <v>36</v>
      </c>
      <c r="N332" s="4" t="n">
        <v>1</v>
      </c>
      <c r="O332" s="4"/>
    </row>
    <row r="333" customFormat="false" ht="15" hidden="false" customHeight="false" outlineLevel="0" collapsed="false">
      <c r="A333" s="4" t="n">
        <v>26</v>
      </c>
      <c r="B333" s="4" t="s">
        <v>1180</v>
      </c>
      <c r="C333" s="4" t="s">
        <v>1181</v>
      </c>
      <c r="D333" s="4" t="s">
        <v>1182</v>
      </c>
      <c r="E333" s="4" t="s">
        <v>1216</v>
      </c>
      <c r="F333" s="4" t="s">
        <v>1217</v>
      </c>
      <c r="G333" s="4" t="s">
        <v>119</v>
      </c>
      <c r="H333" s="4" t="s">
        <v>41</v>
      </c>
      <c r="I333" s="4" t="s">
        <v>149</v>
      </c>
      <c r="J333" s="4" t="s">
        <v>1218</v>
      </c>
      <c r="K333" s="4" t="s">
        <v>102</v>
      </c>
      <c r="L333" s="4" t="s">
        <v>36</v>
      </c>
      <c r="M333" s="4" t="s">
        <v>36</v>
      </c>
      <c r="N333" s="4" t="n">
        <v>1</v>
      </c>
      <c r="O333" s="4" t="s">
        <v>685</v>
      </c>
    </row>
    <row r="334" customFormat="false" ht="15" hidden="false" customHeight="false" outlineLevel="0" collapsed="false">
      <c r="A334" s="4" t="n">
        <v>26</v>
      </c>
      <c r="B334" s="4" t="s">
        <v>1180</v>
      </c>
      <c r="C334" s="4" t="s">
        <v>1181</v>
      </c>
      <c r="D334" s="4" t="s">
        <v>1182</v>
      </c>
      <c r="E334" s="4" t="s">
        <v>1219</v>
      </c>
      <c r="F334" s="4" t="s">
        <v>1220</v>
      </c>
      <c r="G334" s="4" t="s">
        <v>119</v>
      </c>
      <c r="H334" s="4" t="s">
        <v>1221</v>
      </c>
      <c r="I334" s="4" t="s">
        <v>149</v>
      </c>
      <c r="J334" s="4" t="s">
        <v>1222</v>
      </c>
      <c r="K334" s="4" t="s">
        <v>102</v>
      </c>
      <c r="L334" s="4" t="s">
        <v>36</v>
      </c>
      <c r="M334" s="4" t="s">
        <v>36</v>
      </c>
      <c r="N334" s="4" t="n">
        <v>1</v>
      </c>
      <c r="O334" s="4" t="s">
        <v>685</v>
      </c>
    </row>
    <row r="335" customFormat="false" ht="15" hidden="false" customHeight="false" outlineLevel="0" collapsed="false">
      <c r="A335" s="4" t="n">
        <v>26</v>
      </c>
      <c r="B335" s="4" t="s">
        <v>1180</v>
      </c>
      <c r="C335" s="4" t="s">
        <v>1181</v>
      </c>
      <c r="D335" s="4" t="s">
        <v>1182</v>
      </c>
      <c r="E335" s="4" t="s">
        <v>1223</v>
      </c>
      <c r="F335" s="4" t="s">
        <v>1224</v>
      </c>
      <c r="G335" s="4" t="s">
        <v>55</v>
      </c>
      <c r="H335" s="4" t="s">
        <v>1225</v>
      </c>
      <c r="I335" s="4" t="s">
        <v>149</v>
      </c>
      <c r="J335" s="4" t="s">
        <v>1226</v>
      </c>
      <c r="K335" s="4" t="s">
        <v>102</v>
      </c>
      <c r="L335" s="4" t="s">
        <v>36</v>
      </c>
      <c r="M335" s="4" t="s">
        <v>36</v>
      </c>
      <c r="N335" s="4" t="n">
        <v>1</v>
      </c>
      <c r="O335" s="4"/>
    </row>
    <row r="336" customFormat="false" ht="15" hidden="false" customHeight="false" outlineLevel="0" collapsed="false">
      <c r="A336" s="4" t="n">
        <v>26</v>
      </c>
      <c r="B336" s="4" t="s">
        <v>1180</v>
      </c>
      <c r="C336" s="4" t="s">
        <v>1181</v>
      </c>
      <c r="D336" s="4" t="s">
        <v>1182</v>
      </c>
      <c r="E336" s="4" t="s">
        <v>1227</v>
      </c>
      <c r="F336" s="4" t="s">
        <v>1228</v>
      </c>
      <c r="G336" s="4" t="s">
        <v>55</v>
      </c>
      <c r="H336" s="4" t="s">
        <v>1229</v>
      </c>
      <c r="I336" s="4" t="s">
        <v>149</v>
      </c>
      <c r="J336" s="4" t="s">
        <v>1230</v>
      </c>
      <c r="K336" s="4" t="s">
        <v>102</v>
      </c>
      <c r="L336" s="4" t="s">
        <v>36</v>
      </c>
      <c r="M336" s="4" t="s">
        <v>36</v>
      </c>
      <c r="N336" s="4" t="n">
        <v>1</v>
      </c>
      <c r="O336" s="4" t="s">
        <v>1231</v>
      </c>
    </row>
    <row r="337" customFormat="false" ht="15" hidden="false" customHeight="false" outlineLevel="0" collapsed="false">
      <c r="A337" s="4" t="n">
        <v>26</v>
      </c>
      <c r="B337" s="4" t="s">
        <v>1180</v>
      </c>
      <c r="C337" s="4" t="s">
        <v>1181</v>
      </c>
      <c r="D337" s="4" t="s">
        <v>1182</v>
      </c>
      <c r="E337" s="4" t="s">
        <v>1232</v>
      </c>
      <c r="F337" s="4" t="s">
        <v>1233</v>
      </c>
      <c r="G337" s="4" t="s">
        <v>114</v>
      </c>
      <c r="H337" s="4" t="s">
        <v>1234</v>
      </c>
      <c r="I337" s="4" t="s">
        <v>149</v>
      </c>
      <c r="J337" s="4" t="s">
        <v>1235</v>
      </c>
      <c r="K337" s="4" t="s">
        <v>102</v>
      </c>
      <c r="L337" s="4" t="s">
        <v>36</v>
      </c>
      <c r="M337" s="4" t="s">
        <v>37</v>
      </c>
      <c r="N337" s="4" t="n">
        <v>1</v>
      </c>
      <c r="O337" s="4" t="s">
        <v>1236</v>
      </c>
    </row>
    <row r="338" customFormat="false" ht="15" hidden="false" customHeight="false" outlineLevel="0" collapsed="false">
      <c r="A338" s="4" t="n">
        <v>26</v>
      </c>
      <c r="B338" s="4" t="s">
        <v>1180</v>
      </c>
      <c r="C338" s="4" t="s">
        <v>1181</v>
      </c>
      <c r="D338" s="4" t="s">
        <v>1182</v>
      </c>
      <c r="E338" s="4" t="s">
        <v>1237</v>
      </c>
      <c r="F338" s="4" t="s">
        <v>1238</v>
      </c>
      <c r="G338" s="4" t="s">
        <v>114</v>
      </c>
      <c r="H338" s="4" t="s">
        <v>1239</v>
      </c>
      <c r="I338" s="4" t="s">
        <v>149</v>
      </c>
      <c r="J338" s="4" t="s">
        <v>1240</v>
      </c>
      <c r="K338" s="4" t="s">
        <v>102</v>
      </c>
      <c r="L338" s="4" t="s">
        <v>36</v>
      </c>
      <c r="M338" s="4" t="s">
        <v>36</v>
      </c>
      <c r="N338" s="4" t="n">
        <v>1</v>
      </c>
      <c r="O338" s="4" t="s">
        <v>1241</v>
      </c>
    </row>
    <row r="339" customFormat="false" ht="23.85" hidden="false" customHeight="false" outlineLevel="0" collapsed="false">
      <c r="A339" s="4" t="n">
        <v>26</v>
      </c>
      <c r="B339" s="4" t="s">
        <v>1180</v>
      </c>
      <c r="C339" s="4" t="s">
        <v>1181</v>
      </c>
      <c r="D339" s="4" t="s">
        <v>1182</v>
      </c>
      <c r="E339" s="4" t="s">
        <v>104</v>
      </c>
      <c r="F339" s="4" t="s">
        <v>105</v>
      </c>
      <c r="G339" s="4" t="s">
        <v>55</v>
      </c>
      <c r="H339" s="4" t="s">
        <v>106</v>
      </c>
      <c r="I339" s="4" t="s">
        <v>191</v>
      </c>
      <c r="J339" s="4" t="s">
        <v>1242</v>
      </c>
      <c r="K339" s="4" t="s">
        <v>51</v>
      </c>
      <c r="L339" s="4" t="s">
        <v>37</v>
      </c>
      <c r="M339" s="4" t="s">
        <v>36</v>
      </c>
      <c r="N339" s="4" t="n">
        <v>3</v>
      </c>
      <c r="O339" s="4"/>
    </row>
    <row r="340" customFormat="false" ht="15" hidden="false" customHeight="false" outlineLevel="0" collapsed="false">
      <c r="A340" s="4" t="n">
        <v>26</v>
      </c>
      <c r="B340" s="4" t="s">
        <v>1180</v>
      </c>
      <c r="C340" s="4" t="s">
        <v>1181</v>
      </c>
      <c r="D340" s="4" t="s">
        <v>1182</v>
      </c>
      <c r="E340" s="4" t="s">
        <v>1243</v>
      </c>
      <c r="F340" s="4" t="s">
        <v>1244</v>
      </c>
      <c r="G340" s="4" t="s">
        <v>119</v>
      </c>
      <c r="H340" s="4" t="s">
        <v>1245</v>
      </c>
      <c r="I340" s="4" t="s">
        <v>120</v>
      </c>
      <c r="J340" s="4" t="s">
        <v>1246</v>
      </c>
      <c r="K340" s="4" t="s">
        <v>51</v>
      </c>
      <c r="L340" s="4" t="s">
        <v>36</v>
      </c>
      <c r="M340" s="4" t="s">
        <v>37</v>
      </c>
      <c r="N340" s="4" t="n">
        <v>1</v>
      </c>
      <c r="O340" s="4"/>
    </row>
    <row r="341" customFormat="false" ht="15" hidden="false" customHeight="false" outlineLevel="0" collapsed="false">
      <c r="A341" s="4" t="n">
        <v>26</v>
      </c>
      <c r="B341" s="4" t="s">
        <v>1180</v>
      </c>
      <c r="C341" s="4" t="s">
        <v>1181</v>
      </c>
      <c r="D341" s="4" t="s">
        <v>1182</v>
      </c>
      <c r="E341" s="4" t="s">
        <v>1247</v>
      </c>
      <c r="F341" s="4" t="s">
        <v>1248</v>
      </c>
      <c r="G341" s="4" t="s">
        <v>119</v>
      </c>
      <c r="H341" s="4" t="s">
        <v>1249</v>
      </c>
      <c r="I341" s="4" t="s">
        <v>120</v>
      </c>
      <c r="J341" s="4" t="s">
        <v>1250</v>
      </c>
      <c r="K341" s="4" t="s">
        <v>102</v>
      </c>
      <c r="L341" s="4" t="s">
        <v>36</v>
      </c>
      <c r="M341" s="4" t="s">
        <v>37</v>
      </c>
      <c r="N341" s="4" t="n">
        <v>1</v>
      </c>
      <c r="O341" s="4" t="s">
        <v>1251</v>
      </c>
    </row>
    <row r="342" customFormat="false" ht="15" hidden="false" customHeight="false" outlineLevel="0" collapsed="false">
      <c r="A342" s="4" t="n">
        <v>26</v>
      </c>
      <c r="B342" s="4" t="s">
        <v>1180</v>
      </c>
      <c r="C342" s="4" t="s">
        <v>1181</v>
      </c>
      <c r="D342" s="4" t="s">
        <v>1182</v>
      </c>
      <c r="E342" s="4" t="s">
        <v>1252</v>
      </c>
      <c r="F342" s="4" t="s">
        <v>1253</v>
      </c>
      <c r="G342" s="4" t="s">
        <v>119</v>
      </c>
      <c r="H342" s="4" t="s">
        <v>1254</v>
      </c>
      <c r="I342" s="4" t="s">
        <v>120</v>
      </c>
      <c r="J342" s="4" t="s">
        <v>1255</v>
      </c>
      <c r="K342" s="4" t="s">
        <v>102</v>
      </c>
      <c r="L342" s="4" t="s">
        <v>36</v>
      </c>
      <c r="M342" s="4" t="s">
        <v>36</v>
      </c>
      <c r="N342" s="4" t="n">
        <v>1</v>
      </c>
      <c r="O342" s="4" t="s">
        <v>1256</v>
      </c>
    </row>
    <row r="343" customFormat="false" ht="15" hidden="false" customHeight="false" outlineLevel="0" collapsed="false">
      <c r="A343" s="4" t="n">
        <v>26</v>
      </c>
      <c r="B343" s="4" t="s">
        <v>1180</v>
      </c>
      <c r="C343" s="4" t="s">
        <v>1181</v>
      </c>
      <c r="D343" s="4" t="s">
        <v>1182</v>
      </c>
      <c r="E343" s="4" t="s">
        <v>1257</v>
      </c>
      <c r="F343" s="4" t="s">
        <v>1258</v>
      </c>
      <c r="G343" s="4" t="s">
        <v>55</v>
      </c>
      <c r="H343" s="4" t="s">
        <v>41</v>
      </c>
      <c r="I343" s="4" t="s">
        <v>120</v>
      </c>
      <c r="J343" s="4" t="s">
        <v>1259</v>
      </c>
      <c r="K343" s="4" t="s">
        <v>51</v>
      </c>
      <c r="L343" s="4" t="s">
        <v>36</v>
      </c>
      <c r="M343" s="4" t="s">
        <v>37</v>
      </c>
      <c r="N343" s="4" t="n">
        <v>1</v>
      </c>
      <c r="O343" s="4"/>
    </row>
    <row r="344" customFormat="false" ht="15" hidden="false" customHeight="false" outlineLevel="0" collapsed="false">
      <c r="A344" s="4" t="n">
        <v>26</v>
      </c>
      <c r="B344" s="4" t="s">
        <v>1180</v>
      </c>
      <c r="C344" s="4" t="s">
        <v>1181</v>
      </c>
      <c r="D344" s="4" t="s">
        <v>1182</v>
      </c>
      <c r="E344" s="4" t="s">
        <v>1260</v>
      </c>
      <c r="F344" s="4" t="s">
        <v>1261</v>
      </c>
      <c r="G344" s="4" t="s">
        <v>55</v>
      </c>
      <c r="H344" s="4" t="s">
        <v>1262</v>
      </c>
      <c r="I344" s="4" t="s">
        <v>120</v>
      </c>
      <c r="J344" s="4" t="s">
        <v>1263</v>
      </c>
      <c r="K344" s="4" t="s">
        <v>51</v>
      </c>
      <c r="L344" s="4" t="s">
        <v>36</v>
      </c>
      <c r="M344" s="4" t="s">
        <v>37</v>
      </c>
      <c r="N344" s="4" t="n">
        <v>2</v>
      </c>
      <c r="O344" s="4" t="s">
        <v>1264</v>
      </c>
    </row>
    <row r="345" customFormat="false" ht="15" hidden="false" customHeight="false" outlineLevel="0" collapsed="false">
      <c r="A345" s="4" t="n">
        <v>27</v>
      </c>
      <c r="B345" s="4" t="s">
        <v>1265</v>
      </c>
      <c r="C345" s="4" t="s">
        <v>1266</v>
      </c>
      <c r="D345" s="4" t="s">
        <v>1267</v>
      </c>
      <c r="E345" s="4" t="s">
        <v>1268</v>
      </c>
      <c r="F345" s="4" t="s">
        <v>1269</v>
      </c>
      <c r="G345" s="4" t="s">
        <v>55</v>
      </c>
      <c r="H345" s="4" t="s">
        <v>1270</v>
      </c>
      <c r="I345" s="4" t="s">
        <v>93</v>
      </c>
      <c r="J345" s="4" t="s">
        <v>1271</v>
      </c>
      <c r="K345" s="4" t="s">
        <v>102</v>
      </c>
      <c r="L345" s="4" t="s">
        <v>36</v>
      </c>
      <c r="M345" s="4" t="s">
        <v>36</v>
      </c>
      <c r="N345" s="4" t="n">
        <v>1</v>
      </c>
      <c r="O345" s="4" t="s">
        <v>1272</v>
      </c>
    </row>
    <row r="346" customFormat="false" ht="15" hidden="false" customHeight="false" outlineLevel="0" collapsed="false">
      <c r="A346" s="4" t="n">
        <v>27</v>
      </c>
      <c r="B346" s="4" t="s">
        <v>1265</v>
      </c>
      <c r="C346" s="4" t="s">
        <v>1266</v>
      </c>
      <c r="D346" s="4" t="s">
        <v>1267</v>
      </c>
      <c r="E346" s="4" t="s">
        <v>1273</v>
      </c>
      <c r="F346" s="4" t="s">
        <v>1274</v>
      </c>
      <c r="G346" s="4" t="s">
        <v>119</v>
      </c>
      <c r="H346" s="4" t="s">
        <v>1270</v>
      </c>
      <c r="I346" s="4" t="s">
        <v>93</v>
      </c>
      <c r="J346" s="4" t="s">
        <v>1275</v>
      </c>
      <c r="K346" s="4" t="s">
        <v>51</v>
      </c>
      <c r="L346" s="4" t="s">
        <v>36</v>
      </c>
      <c r="M346" s="4" t="s">
        <v>37</v>
      </c>
      <c r="N346" s="4" t="n">
        <v>1</v>
      </c>
      <c r="O346" s="4" t="s">
        <v>1276</v>
      </c>
    </row>
    <row r="347" customFormat="false" ht="15" hidden="false" customHeight="false" outlineLevel="0" collapsed="false">
      <c r="A347" s="4" t="n">
        <v>27</v>
      </c>
      <c r="B347" s="4" t="s">
        <v>1265</v>
      </c>
      <c r="C347" s="4" t="s">
        <v>1266</v>
      </c>
      <c r="D347" s="4" t="s">
        <v>1267</v>
      </c>
      <c r="E347" s="4" t="s">
        <v>1277</v>
      </c>
      <c r="F347" s="4" t="s">
        <v>1278</v>
      </c>
      <c r="G347" s="4" t="s">
        <v>55</v>
      </c>
      <c r="H347" s="4" t="s">
        <v>1279</v>
      </c>
      <c r="I347" s="4" t="s">
        <v>93</v>
      </c>
      <c r="J347" s="4" t="s">
        <v>1280</v>
      </c>
      <c r="K347" s="4" t="s">
        <v>102</v>
      </c>
      <c r="L347" s="4" t="s">
        <v>36</v>
      </c>
      <c r="M347" s="4" t="s">
        <v>37</v>
      </c>
      <c r="N347" s="4" t="n">
        <v>1</v>
      </c>
      <c r="O347" s="4"/>
    </row>
    <row r="348" customFormat="false" ht="15" hidden="false" customHeight="false" outlineLevel="0" collapsed="false">
      <c r="A348" s="4" t="n">
        <v>27</v>
      </c>
      <c r="B348" s="4" t="s">
        <v>1265</v>
      </c>
      <c r="C348" s="4" t="s">
        <v>1266</v>
      </c>
      <c r="D348" s="4" t="s">
        <v>1267</v>
      </c>
      <c r="E348" s="4" t="s">
        <v>1281</v>
      </c>
      <c r="F348" s="4" t="s">
        <v>1282</v>
      </c>
      <c r="G348" s="4" t="s">
        <v>114</v>
      </c>
      <c r="H348" s="4" t="s">
        <v>1283</v>
      </c>
      <c r="I348" s="4" t="s">
        <v>93</v>
      </c>
      <c r="J348" s="4" t="s">
        <v>1284</v>
      </c>
      <c r="K348" s="4" t="s">
        <v>102</v>
      </c>
      <c r="L348" s="4" t="s">
        <v>36</v>
      </c>
      <c r="M348" s="4" t="s">
        <v>37</v>
      </c>
      <c r="N348" s="4" t="n">
        <v>1</v>
      </c>
      <c r="O348" s="4" t="s">
        <v>1285</v>
      </c>
    </row>
    <row r="349" customFormat="false" ht="15" hidden="false" customHeight="false" outlineLevel="0" collapsed="false">
      <c r="A349" s="4" t="n">
        <v>27</v>
      </c>
      <c r="B349" s="4" t="s">
        <v>1265</v>
      </c>
      <c r="C349" s="4" t="s">
        <v>1266</v>
      </c>
      <c r="D349" s="4" t="s">
        <v>1267</v>
      </c>
      <c r="E349" s="4" t="s">
        <v>1286</v>
      </c>
      <c r="F349" s="4" t="s">
        <v>1287</v>
      </c>
      <c r="G349" s="4" t="s">
        <v>55</v>
      </c>
      <c r="H349" s="4" t="s">
        <v>330</v>
      </c>
      <c r="I349" s="4" t="s">
        <v>149</v>
      </c>
      <c r="J349" s="4" t="s">
        <v>1288</v>
      </c>
      <c r="K349" s="4" t="s">
        <v>51</v>
      </c>
      <c r="L349" s="4" t="s">
        <v>36</v>
      </c>
      <c r="M349" s="4" t="s">
        <v>36</v>
      </c>
      <c r="N349" s="4" t="n">
        <v>3</v>
      </c>
      <c r="O349" s="4"/>
    </row>
    <row r="350" customFormat="false" ht="15" hidden="false" customHeight="false" outlineLevel="0" collapsed="false">
      <c r="A350" s="4" t="n">
        <v>27</v>
      </c>
      <c r="B350" s="4" t="s">
        <v>1265</v>
      </c>
      <c r="C350" s="4" t="s">
        <v>1266</v>
      </c>
      <c r="D350" s="4" t="s">
        <v>1267</v>
      </c>
      <c r="E350" s="4" t="s">
        <v>1289</v>
      </c>
      <c r="F350" s="4" t="s">
        <v>1290</v>
      </c>
      <c r="G350" s="4" t="s">
        <v>119</v>
      </c>
      <c r="H350" s="4" t="s">
        <v>330</v>
      </c>
      <c r="I350" s="4" t="s">
        <v>149</v>
      </c>
      <c r="J350" s="4" t="s">
        <v>1291</v>
      </c>
      <c r="K350" s="4" t="s">
        <v>51</v>
      </c>
      <c r="L350" s="4" t="s">
        <v>36</v>
      </c>
      <c r="M350" s="4" t="s">
        <v>36</v>
      </c>
      <c r="N350" s="4" t="n">
        <v>2</v>
      </c>
      <c r="O350" s="4"/>
    </row>
    <row r="351" customFormat="false" ht="15" hidden="false" customHeight="false" outlineLevel="0" collapsed="false">
      <c r="A351" s="4" t="n">
        <v>27</v>
      </c>
      <c r="B351" s="4" t="s">
        <v>1265</v>
      </c>
      <c r="C351" s="4" t="s">
        <v>1266</v>
      </c>
      <c r="D351" s="4" t="s">
        <v>1267</v>
      </c>
      <c r="E351" s="4" t="s">
        <v>1292</v>
      </c>
      <c r="F351" s="4" t="s">
        <v>1293</v>
      </c>
      <c r="G351" s="4" t="s">
        <v>55</v>
      </c>
      <c r="H351" s="4" t="s">
        <v>468</v>
      </c>
      <c r="I351" s="4" t="s">
        <v>149</v>
      </c>
      <c r="J351" s="4" t="s">
        <v>1294</v>
      </c>
      <c r="K351" s="4" t="s">
        <v>1295</v>
      </c>
      <c r="L351" s="4" t="s">
        <v>36</v>
      </c>
      <c r="M351" s="4" t="s">
        <v>37</v>
      </c>
      <c r="N351" s="4" t="n">
        <v>1</v>
      </c>
      <c r="O351" s="4"/>
    </row>
    <row r="352" customFormat="false" ht="15" hidden="false" customHeight="false" outlineLevel="0" collapsed="false">
      <c r="A352" s="4" t="n">
        <v>27</v>
      </c>
      <c r="B352" s="4" t="s">
        <v>1265</v>
      </c>
      <c r="C352" s="4" t="s">
        <v>1266</v>
      </c>
      <c r="D352" s="4" t="s">
        <v>1267</v>
      </c>
      <c r="E352" s="4" t="s">
        <v>1296</v>
      </c>
      <c r="F352" s="4" t="s">
        <v>1297</v>
      </c>
      <c r="G352" s="4" t="s">
        <v>55</v>
      </c>
      <c r="H352" s="4" t="s">
        <v>445</v>
      </c>
      <c r="I352" s="4" t="s">
        <v>149</v>
      </c>
      <c r="J352" s="4" t="s">
        <v>1298</v>
      </c>
      <c r="K352" s="4" t="s">
        <v>102</v>
      </c>
      <c r="L352" s="4" t="s">
        <v>36</v>
      </c>
      <c r="M352" s="4" t="s">
        <v>37</v>
      </c>
      <c r="N352" s="4" t="n">
        <v>1</v>
      </c>
      <c r="O352" s="4" t="s">
        <v>1299</v>
      </c>
    </row>
    <row r="353" customFormat="false" ht="15" hidden="false" customHeight="false" outlineLevel="0" collapsed="false">
      <c r="A353" s="4" t="n">
        <v>27</v>
      </c>
      <c r="B353" s="4" t="s">
        <v>1265</v>
      </c>
      <c r="C353" s="4" t="s">
        <v>1266</v>
      </c>
      <c r="D353" s="4" t="s">
        <v>1267</v>
      </c>
      <c r="E353" s="4" t="s">
        <v>1300</v>
      </c>
      <c r="F353" s="4" t="s">
        <v>1301</v>
      </c>
      <c r="G353" s="4" t="s">
        <v>55</v>
      </c>
      <c r="H353" s="4" t="s">
        <v>525</v>
      </c>
      <c r="I353" s="4" t="s">
        <v>149</v>
      </c>
      <c r="J353" s="4" t="s">
        <v>1302</v>
      </c>
      <c r="K353" s="4" t="s">
        <v>51</v>
      </c>
      <c r="L353" s="4" t="s">
        <v>36</v>
      </c>
      <c r="M353" s="4" t="s">
        <v>37</v>
      </c>
      <c r="N353" s="4" t="n">
        <v>1</v>
      </c>
      <c r="O353" s="4"/>
    </row>
    <row r="354" customFormat="false" ht="15" hidden="false" customHeight="false" outlineLevel="0" collapsed="false">
      <c r="A354" s="4" t="n">
        <v>27</v>
      </c>
      <c r="B354" s="4" t="s">
        <v>1265</v>
      </c>
      <c r="C354" s="4" t="s">
        <v>1266</v>
      </c>
      <c r="D354" s="4" t="s">
        <v>1267</v>
      </c>
      <c r="E354" s="4" t="s">
        <v>1303</v>
      </c>
      <c r="F354" s="4" t="s">
        <v>1304</v>
      </c>
      <c r="G354" s="4" t="s">
        <v>119</v>
      </c>
      <c r="H354" s="4" t="s">
        <v>84</v>
      </c>
      <c r="I354" s="4" t="s">
        <v>149</v>
      </c>
      <c r="J354" s="4" t="s">
        <v>1305</v>
      </c>
      <c r="K354" s="4" t="s">
        <v>51</v>
      </c>
      <c r="L354" s="4" t="s">
        <v>36</v>
      </c>
      <c r="M354" s="4" t="s">
        <v>37</v>
      </c>
      <c r="N354" s="4" t="n">
        <v>1</v>
      </c>
      <c r="O354" s="4"/>
    </row>
    <row r="355" customFormat="false" ht="23.85" hidden="false" customHeight="false" outlineLevel="0" collapsed="false">
      <c r="A355" s="4" t="n">
        <v>27</v>
      </c>
      <c r="B355" s="4" t="s">
        <v>1265</v>
      </c>
      <c r="C355" s="4" t="s">
        <v>1266</v>
      </c>
      <c r="D355" s="4" t="s">
        <v>1267</v>
      </c>
      <c r="E355" s="4" t="s">
        <v>371</v>
      </c>
      <c r="F355" s="4" t="s">
        <v>372</v>
      </c>
      <c r="G355" s="4" t="s">
        <v>114</v>
      </c>
      <c r="H355" s="4" t="s">
        <v>373</v>
      </c>
      <c r="I355" s="4" t="s">
        <v>191</v>
      </c>
      <c r="J355" s="4" t="s">
        <v>1306</v>
      </c>
      <c r="K355" s="4" t="s">
        <v>102</v>
      </c>
      <c r="L355" s="4" t="s">
        <v>37</v>
      </c>
      <c r="M355" s="4" t="s">
        <v>37</v>
      </c>
      <c r="N355" s="4" t="n">
        <v>2</v>
      </c>
      <c r="O355" s="4"/>
    </row>
    <row r="356" customFormat="false" ht="23.85" hidden="false" customHeight="false" outlineLevel="0" collapsed="false">
      <c r="A356" s="4" t="n">
        <v>27</v>
      </c>
      <c r="B356" s="4" t="s">
        <v>1265</v>
      </c>
      <c r="C356" s="4" t="s">
        <v>1266</v>
      </c>
      <c r="D356" s="4" t="s">
        <v>1267</v>
      </c>
      <c r="E356" s="4" t="s">
        <v>1072</v>
      </c>
      <c r="F356" s="4" t="s">
        <v>1073</v>
      </c>
      <c r="G356" s="4" t="s">
        <v>119</v>
      </c>
      <c r="H356" s="4" t="s">
        <v>995</v>
      </c>
      <c r="I356" s="4" t="s">
        <v>191</v>
      </c>
      <c r="J356" s="4" t="s">
        <v>1307</v>
      </c>
      <c r="K356" s="4" t="s">
        <v>51</v>
      </c>
      <c r="L356" s="4" t="s">
        <v>37</v>
      </c>
      <c r="M356" s="4" t="s">
        <v>37</v>
      </c>
      <c r="N356" s="4" t="n">
        <v>3</v>
      </c>
      <c r="O356" s="4"/>
    </row>
    <row r="357" customFormat="false" ht="15" hidden="false" customHeight="false" outlineLevel="0" collapsed="false">
      <c r="A357" s="4" t="n">
        <v>27</v>
      </c>
      <c r="B357" s="4" t="s">
        <v>1265</v>
      </c>
      <c r="C357" s="4" t="s">
        <v>1266</v>
      </c>
      <c r="D357" s="4" t="s">
        <v>1267</v>
      </c>
      <c r="E357" s="4" t="s">
        <v>1308</v>
      </c>
      <c r="F357" s="4" t="s">
        <v>1309</v>
      </c>
      <c r="G357" s="4" t="s">
        <v>119</v>
      </c>
      <c r="H357" s="4" t="s">
        <v>1310</v>
      </c>
      <c r="I357" s="4" t="s">
        <v>120</v>
      </c>
      <c r="J357" s="4" t="s">
        <v>1311</v>
      </c>
      <c r="K357" s="4" t="s">
        <v>102</v>
      </c>
      <c r="L357" s="4" t="s">
        <v>36</v>
      </c>
      <c r="M357" s="4" t="s">
        <v>37</v>
      </c>
      <c r="N357" s="4" t="n">
        <v>1</v>
      </c>
      <c r="O357" s="4" t="s">
        <v>1312</v>
      </c>
    </row>
    <row r="358" customFormat="false" ht="23.85" hidden="false" customHeight="false" outlineLevel="0" collapsed="false">
      <c r="A358" s="4" t="n">
        <v>27</v>
      </c>
      <c r="B358" s="4" t="s">
        <v>1265</v>
      </c>
      <c r="C358" s="4" t="s">
        <v>1266</v>
      </c>
      <c r="D358" s="4" t="s">
        <v>1267</v>
      </c>
      <c r="E358" s="4" t="s">
        <v>1313</v>
      </c>
      <c r="F358" s="4" t="s">
        <v>1314</v>
      </c>
      <c r="G358" s="4" t="s">
        <v>55</v>
      </c>
      <c r="H358" s="4" t="s">
        <v>1315</v>
      </c>
      <c r="I358" s="4" t="s">
        <v>120</v>
      </c>
      <c r="J358" s="4" t="s">
        <v>1316</v>
      </c>
      <c r="K358" s="4" t="s">
        <v>51</v>
      </c>
      <c r="L358" s="4" t="s">
        <v>36</v>
      </c>
      <c r="M358" s="4" t="s">
        <v>37</v>
      </c>
      <c r="N358" s="4" t="n">
        <v>2</v>
      </c>
      <c r="O358" s="4" t="s">
        <v>1317</v>
      </c>
    </row>
    <row r="359" customFormat="false" ht="23.85" hidden="false" customHeight="false" outlineLevel="0" collapsed="false">
      <c r="A359" s="4" t="n">
        <v>28</v>
      </c>
      <c r="B359" s="4" t="s">
        <v>1318</v>
      </c>
      <c r="C359" s="4" t="s">
        <v>1319</v>
      </c>
      <c r="D359" s="4" t="s">
        <v>1320</v>
      </c>
      <c r="E359" s="4" t="s">
        <v>1321</v>
      </c>
      <c r="F359" s="4" t="s">
        <v>1322</v>
      </c>
      <c r="G359" s="4" t="s">
        <v>55</v>
      </c>
      <c r="H359" s="4" t="s">
        <v>1323</v>
      </c>
      <c r="I359" s="4" t="s">
        <v>93</v>
      </c>
      <c r="J359" s="4" t="s">
        <v>1324</v>
      </c>
      <c r="K359" s="4" t="s">
        <v>1325</v>
      </c>
      <c r="L359" s="4" t="s">
        <v>36</v>
      </c>
      <c r="M359" s="4" t="s">
        <v>37</v>
      </c>
      <c r="N359" s="4" t="n">
        <v>2</v>
      </c>
      <c r="O359" s="4" t="s">
        <v>1326</v>
      </c>
    </row>
    <row r="360" customFormat="false" ht="15" hidden="false" customHeight="false" outlineLevel="0" collapsed="false">
      <c r="A360" s="4" t="n">
        <v>28</v>
      </c>
      <c r="B360" s="4" t="s">
        <v>1318</v>
      </c>
      <c r="C360" s="4" t="s">
        <v>1319</v>
      </c>
      <c r="D360" s="4" t="s">
        <v>1320</v>
      </c>
      <c r="E360" s="4" t="s">
        <v>1327</v>
      </c>
      <c r="F360" s="4" t="s">
        <v>1328</v>
      </c>
      <c r="G360" s="4" t="s">
        <v>119</v>
      </c>
      <c r="H360" s="4" t="s">
        <v>1323</v>
      </c>
      <c r="I360" s="4" t="s">
        <v>93</v>
      </c>
      <c r="J360" s="4" t="s">
        <v>1329</v>
      </c>
      <c r="K360" s="4" t="s">
        <v>51</v>
      </c>
      <c r="L360" s="4" t="s">
        <v>36</v>
      </c>
      <c r="M360" s="4" t="s">
        <v>36</v>
      </c>
      <c r="N360" s="4" t="n">
        <v>1</v>
      </c>
      <c r="O360" s="4"/>
    </row>
    <row r="361" customFormat="false" ht="15" hidden="false" customHeight="false" outlineLevel="0" collapsed="false">
      <c r="A361" s="4" t="n">
        <v>28</v>
      </c>
      <c r="B361" s="4" t="s">
        <v>1318</v>
      </c>
      <c r="C361" s="4" t="s">
        <v>1319</v>
      </c>
      <c r="D361" s="4" t="s">
        <v>1320</v>
      </c>
      <c r="E361" s="4" t="s">
        <v>1330</v>
      </c>
      <c r="F361" s="4" t="s">
        <v>1331</v>
      </c>
      <c r="G361" s="4" t="s">
        <v>114</v>
      </c>
      <c r="H361" s="4" t="s">
        <v>1332</v>
      </c>
      <c r="I361" s="4" t="s">
        <v>93</v>
      </c>
      <c r="J361" s="4" t="s">
        <v>1333</v>
      </c>
      <c r="K361" s="4" t="s">
        <v>102</v>
      </c>
      <c r="L361" s="4" t="s">
        <v>36</v>
      </c>
      <c r="M361" s="4" t="s">
        <v>37</v>
      </c>
      <c r="N361" s="4" t="n">
        <v>2</v>
      </c>
      <c r="O361" s="4" t="s">
        <v>1334</v>
      </c>
    </row>
    <row r="362" customFormat="false" ht="15" hidden="false" customHeight="false" outlineLevel="0" collapsed="false">
      <c r="A362" s="4" t="n">
        <v>28</v>
      </c>
      <c r="B362" s="4" t="s">
        <v>1318</v>
      </c>
      <c r="C362" s="4" t="s">
        <v>1319</v>
      </c>
      <c r="D362" s="4" t="s">
        <v>1320</v>
      </c>
      <c r="E362" s="4" t="s">
        <v>1335</v>
      </c>
      <c r="F362" s="4" t="s">
        <v>1336</v>
      </c>
      <c r="G362" s="4" t="s">
        <v>119</v>
      </c>
      <c r="H362" s="4" t="s">
        <v>1337</v>
      </c>
      <c r="I362" s="4" t="s">
        <v>93</v>
      </c>
      <c r="J362" s="4" t="s">
        <v>1338</v>
      </c>
      <c r="K362" s="4" t="s">
        <v>102</v>
      </c>
      <c r="L362" s="4" t="s">
        <v>36</v>
      </c>
      <c r="M362" s="4" t="s">
        <v>37</v>
      </c>
      <c r="N362" s="4" t="n">
        <v>1</v>
      </c>
      <c r="O362" s="4" t="s">
        <v>1339</v>
      </c>
    </row>
    <row r="363" customFormat="false" ht="15" hidden="false" customHeight="false" outlineLevel="0" collapsed="false">
      <c r="A363" s="4" t="n">
        <v>28</v>
      </c>
      <c r="B363" s="4" t="s">
        <v>1318</v>
      </c>
      <c r="C363" s="4" t="s">
        <v>1319</v>
      </c>
      <c r="D363" s="4" t="s">
        <v>1320</v>
      </c>
      <c r="E363" s="4" t="s">
        <v>1340</v>
      </c>
      <c r="F363" s="4" t="s">
        <v>1341</v>
      </c>
      <c r="G363" s="4" t="s">
        <v>119</v>
      </c>
      <c r="H363" s="4" t="s">
        <v>330</v>
      </c>
      <c r="I363" s="4" t="s">
        <v>149</v>
      </c>
      <c r="J363" s="4" t="s">
        <v>1342</v>
      </c>
      <c r="K363" s="4" t="s">
        <v>51</v>
      </c>
      <c r="L363" s="4" t="s">
        <v>36</v>
      </c>
      <c r="M363" s="4" t="s">
        <v>36</v>
      </c>
      <c r="N363" s="4" t="n">
        <v>2</v>
      </c>
      <c r="O363" s="4"/>
    </row>
    <row r="364" customFormat="false" ht="15" hidden="false" customHeight="false" outlineLevel="0" collapsed="false">
      <c r="A364" s="4" t="n">
        <v>28</v>
      </c>
      <c r="B364" s="4" t="s">
        <v>1318</v>
      </c>
      <c r="C364" s="4" t="s">
        <v>1319</v>
      </c>
      <c r="D364" s="4" t="s">
        <v>1320</v>
      </c>
      <c r="E364" s="4" t="s">
        <v>1343</v>
      </c>
      <c r="F364" s="4" t="s">
        <v>1344</v>
      </c>
      <c r="G364" s="4" t="s">
        <v>55</v>
      </c>
      <c r="H364" s="4" t="s">
        <v>330</v>
      </c>
      <c r="I364" s="4" t="s">
        <v>149</v>
      </c>
      <c r="J364" s="4" t="s">
        <v>1345</v>
      </c>
      <c r="K364" s="4" t="s">
        <v>102</v>
      </c>
      <c r="L364" s="4" t="s">
        <v>36</v>
      </c>
      <c r="M364" s="4" t="s">
        <v>37</v>
      </c>
      <c r="N364" s="4" t="n">
        <v>2</v>
      </c>
      <c r="O364" s="4"/>
    </row>
    <row r="365" customFormat="false" ht="15" hidden="false" customHeight="false" outlineLevel="0" collapsed="false">
      <c r="A365" s="4" t="n">
        <v>28</v>
      </c>
      <c r="B365" s="4" t="s">
        <v>1318</v>
      </c>
      <c r="C365" s="4" t="s">
        <v>1319</v>
      </c>
      <c r="D365" s="4" t="s">
        <v>1320</v>
      </c>
      <c r="E365" s="4" t="s">
        <v>1346</v>
      </c>
      <c r="F365" s="4" t="s">
        <v>1347</v>
      </c>
      <c r="G365" s="4" t="s">
        <v>55</v>
      </c>
      <c r="H365" s="4" t="s">
        <v>177</v>
      </c>
      <c r="I365" s="4" t="s">
        <v>149</v>
      </c>
      <c r="J365" s="4" t="s">
        <v>1348</v>
      </c>
      <c r="K365" s="4" t="s">
        <v>1349</v>
      </c>
      <c r="L365" s="4" t="s">
        <v>36</v>
      </c>
      <c r="M365" s="4" t="s">
        <v>37</v>
      </c>
      <c r="N365" s="4" t="n">
        <v>1</v>
      </c>
      <c r="O365" s="4"/>
    </row>
    <row r="366" customFormat="false" ht="23.85" hidden="false" customHeight="false" outlineLevel="0" collapsed="false">
      <c r="A366" s="4" t="n">
        <v>28</v>
      </c>
      <c r="B366" s="4" t="s">
        <v>1318</v>
      </c>
      <c r="C366" s="4" t="s">
        <v>1319</v>
      </c>
      <c r="D366" s="4" t="s">
        <v>1320</v>
      </c>
      <c r="E366" s="4" t="s">
        <v>1350</v>
      </c>
      <c r="F366" s="4" t="s">
        <v>1351</v>
      </c>
      <c r="G366" s="4" t="s">
        <v>55</v>
      </c>
      <c r="H366" s="4" t="s">
        <v>1352</v>
      </c>
      <c r="I366" s="4" t="s">
        <v>149</v>
      </c>
      <c r="J366" s="4" t="s">
        <v>1353</v>
      </c>
      <c r="K366" s="4" t="s">
        <v>326</v>
      </c>
      <c r="L366" s="4" t="s">
        <v>36</v>
      </c>
      <c r="M366" s="4" t="s">
        <v>37</v>
      </c>
      <c r="N366" s="4" t="n">
        <v>3</v>
      </c>
      <c r="O366" s="4" t="s">
        <v>1354</v>
      </c>
    </row>
    <row r="367" customFormat="false" ht="23.85" hidden="false" customHeight="false" outlineLevel="0" collapsed="false">
      <c r="A367" s="4" t="n">
        <v>28</v>
      </c>
      <c r="B367" s="4" t="s">
        <v>1318</v>
      </c>
      <c r="C367" s="4" t="s">
        <v>1319</v>
      </c>
      <c r="D367" s="4" t="s">
        <v>1320</v>
      </c>
      <c r="E367" s="4" t="s">
        <v>1355</v>
      </c>
      <c r="F367" s="4" t="s">
        <v>1356</v>
      </c>
      <c r="G367" s="4" t="s">
        <v>119</v>
      </c>
      <c r="H367" s="4" t="s">
        <v>1357</v>
      </c>
      <c r="I367" s="4" t="s">
        <v>149</v>
      </c>
      <c r="J367" s="4" t="s">
        <v>1358</v>
      </c>
      <c r="K367" s="4" t="s">
        <v>326</v>
      </c>
      <c r="L367" s="4" t="s">
        <v>36</v>
      </c>
      <c r="M367" s="4" t="s">
        <v>37</v>
      </c>
      <c r="N367" s="4" t="n">
        <v>2</v>
      </c>
      <c r="O367" s="4" t="s">
        <v>1359</v>
      </c>
    </row>
    <row r="368" customFormat="false" ht="23.85" hidden="false" customHeight="false" outlineLevel="0" collapsed="false">
      <c r="A368" s="4" t="n">
        <v>28</v>
      </c>
      <c r="B368" s="4" t="s">
        <v>1318</v>
      </c>
      <c r="C368" s="4" t="s">
        <v>1319</v>
      </c>
      <c r="D368" s="4" t="s">
        <v>1320</v>
      </c>
      <c r="E368" s="4" t="s">
        <v>333</v>
      </c>
      <c r="F368" s="4" t="s">
        <v>334</v>
      </c>
      <c r="G368" s="4" t="s">
        <v>55</v>
      </c>
      <c r="H368" s="4" t="s">
        <v>335</v>
      </c>
      <c r="I368" s="4" t="s">
        <v>191</v>
      </c>
      <c r="J368" s="4" t="s">
        <v>1333</v>
      </c>
      <c r="K368" s="4" t="s">
        <v>102</v>
      </c>
      <c r="L368" s="4" t="s">
        <v>37</v>
      </c>
      <c r="M368" s="4" t="s">
        <v>37</v>
      </c>
      <c r="N368" s="4" t="n">
        <v>2</v>
      </c>
      <c r="O368" s="4"/>
    </row>
    <row r="369" customFormat="false" ht="23.85" hidden="false" customHeight="false" outlineLevel="0" collapsed="false">
      <c r="A369" s="4" t="n">
        <v>28</v>
      </c>
      <c r="B369" s="4" t="s">
        <v>1318</v>
      </c>
      <c r="C369" s="4" t="s">
        <v>1319</v>
      </c>
      <c r="D369" s="4" t="s">
        <v>1320</v>
      </c>
      <c r="E369" s="4" t="s">
        <v>1286</v>
      </c>
      <c r="F369" s="4" t="s">
        <v>1287</v>
      </c>
      <c r="G369" s="4" t="s">
        <v>55</v>
      </c>
      <c r="H369" s="4" t="s">
        <v>330</v>
      </c>
      <c r="I369" s="4" t="s">
        <v>191</v>
      </c>
      <c r="J369" s="4" t="s">
        <v>1360</v>
      </c>
      <c r="K369" s="4" t="s">
        <v>51</v>
      </c>
      <c r="L369" s="4" t="s">
        <v>37</v>
      </c>
      <c r="M369" s="4" t="s">
        <v>36</v>
      </c>
      <c r="N369" s="4" t="n">
        <v>3</v>
      </c>
      <c r="O369" s="4"/>
    </row>
    <row r="370" customFormat="false" ht="15" hidden="false" customHeight="false" outlineLevel="0" collapsed="false">
      <c r="A370" s="4" t="n">
        <v>28</v>
      </c>
      <c r="B370" s="4" t="s">
        <v>1318</v>
      </c>
      <c r="C370" s="4" t="s">
        <v>1319</v>
      </c>
      <c r="D370" s="4" t="s">
        <v>1320</v>
      </c>
      <c r="E370" s="4" t="s">
        <v>1361</v>
      </c>
      <c r="F370" s="4" t="s">
        <v>1362</v>
      </c>
      <c r="G370" s="4" t="s">
        <v>55</v>
      </c>
      <c r="H370" s="4" t="s">
        <v>1363</v>
      </c>
      <c r="I370" s="4" t="s">
        <v>120</v>
      </c>
      <c r="J370" s="4" t="s">
        <v>1364</v>
      </c>
      <c r="K370" s="4" t="s">
        <v>51</v>
      </c>
      <c r="L370" s="4" t="s">
        <v>36</v>
      </c>
      <c r="M370" s="4" t="s">
        <v>37</v>
      </c>
      <c r="N370" s="4" t="n">
        <v>1</v>
      </c>
      <c r="O370" s="4"/>
    </row>
    <row r="371" customFormat="false" ht="15" hidden="false" customHeight="false" outlineLevel="0" collapsed="false">
      <c r="A371" s="4" t="n">
        <v>28</v>
      </c>
      <c r="B371" s="4" t="s">
        <v>1318</v>
      </c>
      <c r="C371" s="4" t="s">
        <v>1319</v>
      </c>
      <c r="D371" s="4" t="s">
        <v>1320</v>
      </c>
      <c r="E371" s="4" t="s">
        <v>1365</v>
      </c>
      <c r="F371" s="4" t="s">
        <v>1366</v>
      </c>
      <c r="G371" s="4" t="s">
        <v>119</v>
      </c>
      <c r="H371" s="4" t="s">
        <v>1367</v>
      </c>
      <c r="I371" s="4" t="s">
        <v>120</v>
      </c>
      <c r="J371" s="4" t="s">
        <v>1368</v>
      </c>
      <c r="K371" s="4" t="s">
        <v>51</v>
      </c>
      <c r="L371" s="4" t="s">
        <v>36</v>
      </c>
      <c r="M371" s="4" t="s">
        <v>37</v>
      </c>
      <c r="N371" s="4" t="n">
        <v>1</v>
      </c>
      <c r="O371" s="4"/>
    </row>
    <row r="372" customFormat="false" ht="15" hidden="false" customHeight="false" outlineLevel="0" collapsed="false">
      <c r="A372" s="4" t="n">
        <v>28</v>
      </c>
      <c r="B372" s="4" t="s">
        <v>1318</v>
      </c>
      <c r="C372" s="4" t="s">
        <v>1319</v>
      </c>
      <c r="D372" s="4" t="s">
        <v>1320</v>
      </c>
      <c r="E372" s="4" t="s">
        <v>1369</v>
      </c>
      <c r="F372" s="4" t="s">
        <v>1370</v>
      </c>
      <c r="G372" s="4" t="s">
        <v>176</v>
      </c>
      <c r="H372" s="4" t="s">
        <v>1371</v>
      </c>
      <c r="I372" s="4" t="s">
        <v>120</v>
      </c>
      <c r="J372" s="4" t="s">
        <v>1368</v>
      </c>
      <c r="K372" s="4" t="s">
        <v>102</v>
      </c>
      <c r="L372" s="4" t="s">
        <v>36</v>
      </c>
      <c r="M372" s="4" t="s">
        <v>37</v>
      </c>
      <c r="N372" s="4" t="n">
        <v>1</v>
      </c>
      <c r="O372" s="4" t="s">
        <v>253</v>
      </c>
    </row>
    <row r="373" customFormat="false" ht="15" hidden="false" customHeight="false" outlineLevel="0" collapsed="false">
      <c r="A373" s="4" t="n">
        <v>28</v>
      </c>
      <c r="B373" s="4" t="s">
        <v>1318</v>
      </c>
      <c r="C373" s="4" t="s">
        <v>1319</v>
      </c>
      <c r="D373" s="4" t="s">
        <v>1320</v>
      </c>
      <c r="E373" s="4" t="s">
        <v>1372</v>
      </c>
      <c r="F373" s="4" t="s">
        <v>1373</v>
      </c>
      <c r="G373" s="4" t="s">
        <v>55</v>
      </c>
      <c r="H373" s="4" t="s">
        <v>1374</v>
      </c>
      <c r="I373" s="4" t="s">
        <v>120</v>
      </c>
      <c r="J373" s="4" t="s">
        <v>1368</v>
      </c>
      <c r="K373" s="4" t="s">
        <v>51</v>
      </c>
      <c r="L373" s="4" t="s">
        <v>36</v>
      </c>
      <c r="M373" s="4" t="s">
        <v>37</v>
      </c>
      <c r="N373" s="4" t="n">
        <v>2</v>
      </c>
      <c r="O373" s="4"/>
    </row>
    <row r="374" customFormat="false" ht="15" hidden="false" customHeight="false" outlineLevel="0" collapsed="false">
      <c r="A374" s="4" t="n">
        <v>29</v>
      </c>
      <c r="B374" s="4" t="s">
        <v>1375</v>
      </c>
      <c r="C374" s="4" t="s">
        <v>1376</v>
      </c>
      <c r="D374" s="4" t="s">
        <v>1377</v>
      </c>
      <c r="E374" s="4" t="s">
        <v>1378</v>
      </c>
      <c r="F374" s="4" t="s">
        <v>1379</v>
      </c>
      <c r="G374" s="4" t="s">
        <v>55</v>
      </c>
      <c r="H374" s="4" t="s">
        <v>1323</v>
      </c>
      <c r="I374" s="4" t="s">
        <v>184</v>
      </c>
      <c r="J374" s="4" t="s">
        <v>1380</v>
      </c>
      <c r="K374" s="4" t="s">
        <v>102</v>
      </c>
      <c r="L374" s="4" t="s">
        <v>36</v>
      </c>
      <c r="M374" s="4" t="s">
        <v>37</v>
      </c>
      <c r="N374" s="4" t="n">
        <v>1</v>
      </c>
      <c r="O374" s="4" t="s">
        <v>1381</v>
      </c>
    </row>
    <row r="375" customFormat="false" ht="23.85" hidden="false" customHeight="false" outlineLevel="0" collapsed="false">
      <c r="A375" s="4" t="n">
        <v>29</v>
      </c>
      <c r="B375" s="4" t="s">
        <v>1375</v>
      </c>
      <c r="C375" s="4" t="s">
        <v>1376</v>
      </c>
      <c r="D375" s="4" t="s">
        <v>1377</v>
      </c>
      <c r="E375" s="4" t="s">
        <v>1340</v>
      </c>
      <c r="F375" s="4" t="s">
        <v>1341</v>
      </c>
      <c r="G375" s="4" t="s">
        <v>119</v>
      </c>
      <c r="H375" s="4" t="s">
        <v>330</v>
      </c>
      <c r="I375" s="4" t="s">
        <v>191</v>
      </c>
      <c r="J375" s="4" t="s">
        <v>1382</v>
      </c>
      <c r="K375" s="4" t="s">
        <v>51</v>
      </c>
      <c r="L375" s="4" t="s">
        <v>37</v>
      </c>
      <c r="M375" s="4" t="s">
        <v>36</v>
      </c>
      <c r="N375" s="4" t="n">
        <v>2</v>
      </c>
      <c r="O375" s="4"/>
    </row>
    <row r="376" customFormat="false" ht="23.85" hidden="false" customHeight="false" outlineLevel="0" collapsed="false">
      <c r="A376" s="4" t="n">
        <v>29</v>
      </c>
      <c r="B376" s="4" t="s">
        <v>1375</v>
      </c>
      <c r="C376" s="4" t="s">
        <v>1376</v>
      </c>
      <c r="D376" s="4" t="s">
        <v>1377</v>
      </c>
      <c r="E376" s="4" t="s">
        <v>1343</v>
      </c>
      <c r="F376" s="4" t="s">
        <v>1344</v>
      </c>
      <c r="G376" s="4" t="s">
        <v>55</v>
      </c>
      <c r="H376" s="4" t="s">
        <v>330</v>
      </c>
      <c r="I376" s="4" t="s">
        <v>191</v>
      </c>
      <c r="J376" s="4" t="s">
        <v>1383</v>
      </c>
      <c r="K376" s="4" t="s">
        <v>102</v>
      </c>
      <c r="L376" s="4" t="s">
        <v>37</v>
      </c>
      <c r="M376" s="4" t="s">
        <v>37</v>
      </c>
      <c r="N376" s="4" t="n">
        <v>2</v>
      </c>
      <c r="O376" s="4"/>
    </row>
    <row r="377" customFormat="false" ht="23.85" hidden="false" customHeight="false" outlineLevel="0" collapsed="false">
      <c r="A377" s="4" t="n">
        <v>29</v>
      </c>
      <c r="B377" s="4" t="s">
        <v>1375</v>
      </c>
      <c r="C377" s="4" t="s">
        <v>1376</v>
      </c>
      <c r="D377" s="4" t="s">
        <v>1377</v>
      </c>
      <c r="E377" s="4" t="s">
        <v>1321</v>
      </c>
      <c r="F377" s="4" t="s">
        <v>1322</v>
      </c>
      <c r="G377" s="4" t="s">
        <v>55</v>
      </c>
      <c r="H377" s="4" t="s">
        <v>1323</v>
      </c>
      <c r="I377" s="4" t="s">
        <v>191</v>
      </c>
      <c r="J377" s="4" t="s">
        <v>1384</v>
      </c>
      <c r="K377" s="4" t="s">
        <v>1325</v>
      </c>
      <c r="L377" s="4" t="s">
        <v>37</v>
      </c>
      <c r="M377" s="4" t="s">
        <v>37</v>
      </c>
      <c r="N377" s="4" t="n">
        <v>2</v>
      </c>
      <c r="O377" s="4"/>
    </row>
    <row r="378" customFormat="false" ht="23.85" hidden="false" customHeight="false" outlineLevel="0" collapsed="false">
      <c r="A378" s="4" t="n">
        <v>29</v>
      </c>
      <c r="B378" s="4" t="s">
        <v>1375</v>
      </c>
      <c r="C378" s="4" t="s">
        <v>1376</v>
      </c>
      <c r="D378" s="4" t="s">
        <v>1377</v>
      </c>
      <c r="E378" s="4" t="s">
        <v>1330</v>
      </c>
      <c r="F378" s="4" t="s">
        <v>1331</v>
      </c>
      <c r="G378" s="4" t="s">
        <v>114</v>
      </c>
      <c r="H378" s="4" t="s">
        <v>1332</v>
      </c>
      <c r="I378" s="4" t="s">
        <v>191</v>
      </c>
      <c r="J378" s="4" t="s">
        <v>1385</v>
      </c>
      <c r="K378" s="4" t="s">
        <v>102</v>
      </c>
      <c r="L378" s="4" t="s">
        <v>37</v>
      </c>
      <c r="M378" s="4" t="s">
        <v>37</v>
      </c>
      <c r="N378" s="4" t="n">
        <v>2</v>
      </c>
      <c r="O378" s="4"/>
    </row>
    <row r="379" customFormat="false" ht="23.85" hidden="false" customHeight="false" outlineLevel="0" collapsed="false">
      <c r="A379" s="4" t="n">
        <v>29</v>
      </c>
      <c r="B379" s="4" t="s">
        <v>1375</v>
      </c>
      <c r="C379" s="4" t="s">
        <v>1376</v>
      </c>
      <c r="D379" s="4" t="s">
        <v>1377</v>
      </c>
      <c r="E379" s="4" t="s">
        <v>1350</v>
      </c>
      <c r="F379" s="4" t="s">
        <v>1351</v>
      </c>
      <c r="G379" s="4" t="s">
        <v>55</v>
      </c>
      <c r="H379" s="4" t="s">
        <v>1352</v>
      </c>
      <c r="I379" s="4" t="s">
        <v>191</v>
      </c>
      <c r="J379" s="4" t="s">
        <v>1386</v>
      </c>
      <c r="K379" s="4" t="s">
        <v>326</v>
      </c>
      <c r="L379" s="4" t="s">
        <v>37</v>
      </c>
      <c r="M379" s="4" t="s">
        <v>37</v>
      </c>
      <c r="N379" s="4" t="n">
        <v>3</v>
      </c>
      <c r="O379" s="4"/>
    </row>
    <row r="380" customFormat="false" ht="23.85" hidden="false" customHeight="false" outlineLevel="0" collapsed="false">
      <c r="A380" s="4" t="n">
        <v>29</v>
      </c>
      <c r="B380" s="4" t="s">
        <v>1375</v>
      </c>
      <c r="C380" s="4" t="s">
        <v>1376</v>
      </c>
      <c r="D380" s="4" t="s">
        <v>1377</v>
      </c>
      <c r="E380" s="4" t="s">
        <v>1372</v>
      </c>
      <c r="F380" s="4" t="s">
        <v>1373</v>
      </c>
      <c r="G380" s="4" t="s">
        <v>55</v>
      </c>
      <c r="H380" s="4" t="s">
        <v>1374</v>
      </c>
      <c r="I380" s="4" t="s">
        <v>191</v>
      </c>
      <c r="J380" s="4" t="s">
        <v>1387</v>
      </c>
      <c r="K380" s="4" t="s">
        <v>51</v>
      </c>
      <c r="L380" s="4" t="s">
        <v>37</v>
      </c>
      <c r="M380" s="4" t="s">
        <v>37</v>
      </c>
      <c r="N380" s="4" t="n">
        <v>2</v>
      </c>
      <c r="O380" s="4"/>
    </row>
    <row r="381" customFormat="false" ht="15" hidden="false" customHeight="false" outlineLevel="0" collapsed="false">
      <c r="A381" s="4" t="n">
        <v>30</v>
      </c>
      <c r="B381" s="4" t="s">
        <v>26</v>
      </c>
      <c r="C381" s="4" t="s">
        <v>1388</v>
      </c>
      <c r="D381" s="4" t="s">
        <v>1030</v>
      </c>
      <c r="E381" s="4" t="s">
        <v>1389</v>
      </c>
      <c r="F381" s="4" t="s">
        <v>1390</v>
      </c>
      <c r="G381" s="4" t="s">
        <v>55</v>
      </c>
      <c r="H381" s="4" t="s">
        <v>1391</v>
      </c>
      <c r="I381" s="4" t="s">
        <v>184</v>
      </c>
      <c r="J381" s="4" t="s">
        <v>1392</v>
      </c>
      <c r="K381" s="4" t="s">
        <v>102</v>
      </c>
      <c r="L381" s="4" t="s">
        <v>36</v>
      </c>
      <c r="M381" s="4" t="s">
        <v>37</v>
      </c>
      <c r="N381" s="4" t="n">
        <v>1</v>
      </c>
      <c r="O381" s="4" t="s">
        <v>1381</v>
      </c>
    </row>
    <row r="382" customFormat="false" ht="15" hidden="false" customHeight="false" outlineLevel="0" collapsed="false">
      <c r="A382" s="4" t="n">
        <v>30</v>
      </c>
      <c r="B382" s="4" t="s">
        <v>26</v>
      </c>
      <c r="C382" s="4" t="s">
        <v>1388</v>
      </c>
      <c r="D382" s="4" t="s">
        <v>1030</v>
      </c>
      <c r="E382" s="4" t="s">
        <v>1393</v>
      </c>
      <c r="F382" s="4" t="s">
        <v>1394</v>
      </c>
      <c r="G382" s="4" t="s">
        <v>119</v>
      </c>
      <c r="H382" s="4" t="s">
        <v>1395</v>
      </c>
      <c r="I382" s="4" t="s">
        <v>184</v>
      </c>
      <c r="J382" s="4" t="s">
        <v>1396</v>
      </c>
      <c r="K382" s="4" t="s">
        <v>102</v>
      </c>
      <c r="L382" s="4" t="s">
        <v>36</v>
      </c>
      <c r="M382" s="4" t="s">
        <v>36</v>
      </c>
      <c r="N382" s="4" t="n">
        <v>1</v>
      </c>
      <c r="O382" s="4" t="s">
        <v>1397</v>
      </c>
    </row>
    <row r="383" customFormat="false" ht="15" hidden="false" customHeight="false" outlineLevel="0" collapsed="false">
      <c r="A383" s="4" t="n">
        <v>30</v>
      </c>
      <c r="B383" s="4" t="s">
        <v>26</v>
      </c>
      <c r="C383" s="4" t="s">
        <v>1388</v>
      </c>
      <c r="D383" s="4" t="s">
        <v>1030</v>
      </c>
      <c r="E383" s="4" t="s">
        <v>1398</v>
      </c>
      <c r="F383" s="4" t="s">
        <v>1399</v>
      </c>
      <c r="G383" s="4" t="s">
        <v>119</v>
      </c>
      <c r="H383" s="4" t="s">
        <v>41</v>
      </c>
      <c r="I383" s="4" t="s">
        <v>184</v>
      </c>
      <c r="J383" s="4" t="s">
        <v>1396</v>
      </c>
      <c r="K383" s="4" t="s">
        <v>102</v>
      </c>
      <c r="L383" s="4" t="s">
        <v>36</v>
      </c>
      <c r="M383" s="4" t="s">
        <v>37</v>
      </c>
      <c r="N383" s="4" t="n">
        <v>1</v>
      </c>
      <c r="O383" s="4" t="s">
        <v>1400</v>
      </c>
    </row>
    <row r="384" customFormat="false" ht="23.85" hidden="false" customHeight="false" outlineLevel="0" collapsed="false">
      <c r="A384" s="4" t="n">
        <v>30</v>
      </c>
      <c r="B384" s="4" t="s">
        <v>26</v>
      </c>
      <c r="C384" s="4" t="s">
        <v>1388</v>
      </c>
      <c r="D384" s="4" t="s">
        <v>1030</v>
      </c>
      <c r="E384" s="4" t="s">
        <v>170</v>
      </c>
      <c r="F384" s="4" t="s">
        <v>171</v>
      </c>
      <c r="G384" s="4" t="s">
        <v>119</v>
      </c>
      <c r="H384" s="4" t="s">
        <v>41</v>
      </c>
      <c r="I384" s="4" t="s">
        <v>191</v>
      </c>
      <c r="J384" s="4" t="s">
        <v>1401</v>
      </c>
      <c r="K384" s="4" t="s">
        <v>1402</v>
      </c>
      <c r="L384" s="4" t="s">
        <v>37</v>
      </c>
      <c r="M384" s="4" t="s">
        <v>37</v>
      </c>
      <c r="N384" s="4" t="n">
        <v>3</v>
      </c>
      <c r="O384" s="4"/>
    </row>
    <row r="385" customFormat="false" ht="23.85" hidden="false" customHeight="false" outlineLevel="0" collapsed="false">
      <c r="A385" s="4" t="n">
        <v>30</v>
      </c>
      <c r="B385" s="4" t="s">
        <v>26</v>
      </c>
      <c r="C385" s="4" t="s">
        <v>1388</v>
      </c>
      <c r="D385" s="4" t="s">
        <v>1030</v>
      </c>
      <c r="E385" s="4" t="s">
        <v>1046</v>
      </c>
      <c r="F385" s="4" t="s">
        <v>1047</v>
      </c>
      <c r="G385" s="4" t="s">
        <v>119</v>
      </c>
      <c r="H385" s="4" t="s">
        <v>468</v>
      </c>
      <c r="I385" s="4" t="s">
        <v>191</v>
      </c>
      <c r="J385" s="4" t="s">
        <v>1403</v>
      </c>
      <c r="K385" s="4" t="s">
        <v>1404</v>
      </c>
      <c r="L385" s="4" t="s">
        <v>37</v>
      </c>
      <c r="M385" s="4" t="s">
        <v>37</v>
      </c>
      <c r="N385" s="4" t="n">
        <v>2</v>
      </c>
      <c r="O385" s="4"/>
    </row>
    <row r="386" customFormat="false" ht="23.85" hidden="false" customHeight="false" outlineLevel="0" collapsed="false">
      <c r="A386" s="4" t="n">
        <v>30</v>
      </c>
      <c r="B386" s="4" t="s">
        <v>26</v>
      </c>
      <c r="C386" s="4" t="s">
        <v>1388</v>
      </c>
      <c r="D386" s="4" t="s">
        <v>1030</v>
      </c>
      <c r="E386" s="4" t="s">
        <v>1072</v>
      </c>
      <c r="F386" s="4" t="s">
        <v>1073</v>
      </c>
      <c r="G386" s="4" t="s">
        <v>119</v>
      </c>
      <c r="H386" s="4" t="s">
        <v>995</v>
      </c>
      <c r="I386" s="4" t="s">
        <v>191</v>
      </c>
      <c r="J386" s="4" t="s">
        <v>1401</v>
      </c>
      <c r="K386" s="4" t="s">
        <v>1405</v>
      </c>
      <c r="L386" s="4" t="s">
        <v>37</v>
      </c>
      <c r="M386" s="4" t="s">
        <v>37</v>
      </c>
      <c r="N386" s="4" t="n">
        <v>3</v>
      </c>
      <c r="O386" s="4"/>
    </row>
    <row r="387" customFormat="false" ht="23.85" hidden="false" customHeight="false" outlineLevel="0" collapsed="false">
      <c r="A387" s="4" t="n">
        <v>30</v>
      </c>
      <c r="B387" s="4" t="s">
        <v>26</v>
      </c>
      <c r="C387" s="4" t="s">
        <v>1388</v>
      </c>
      <c r="D387" s="4" t="s">
        <v>1030</v>
      </c>
      <c r="E387" s="4" t="s">
        <v>1313</v>
      </c>
      <c r="F387" s="4" t="s">
        <v>1314</v>
      </c>
      <c r="G387" s="4" t="s">
        <v>55</v>
      </c>
      <c r="H387" s="4" t="s">
        <v>1315</v>
      </c>
      <c r="I387" s="4" t="s">
        <v>191</v>
      </c>
      <c r="J387" s="4" t="s">
        <v>1406</v>
      </c>
      <c r="K387" s="4" t="s">
        <v>1407</v>
      </c>
      <c r="L387" s="4" t="s">
        <v>37</v>
      </c>
      <c r="M387" s="4" t="s">
        <v>37</v>
      </c>
      <c r="N387" s="4" t="n">
        <v>2</v>
      </c>
      <c r="O387" s="4"/>
    </row>
    <row r="388" customFormat="false" ht="35.05" hidden="false" customHeight="false" outlineLevel="0" collapsed="false">
      <c r="A388" s="4" t="n">
        <v>30</v>
      </c>
      <c r="B388" s="4" t="s">
        <v>26</v>
      </c>
      <c r="C388" s="4" t="s">
        <v>1388</v>
      </c>
      <c r="D388" s="4" t="s">
        <v>1030</v>
      </c>
      <c r="E388" s="4" t="s">
        <v>993</v>
      </c>
      <c r="F388" s="4" t="s">
        <v>994</v>
      </c>
      <c r="G388" s="4" t="s">
        <v>119</v>
      </c>
      <c r="H388" s="4" t="s">
        <v>995</v>
      </c>
      <c r="I388" s="4" t="s">
        <v>191</v>
      </c>
      <c r="J388" s="4" t="s">
        <v>1408</v>
      </c>
      <c r="K388" s="4" t="s">
        <v>1409</v>
      </c>
      <c r="L388" s="4" t="s">
        <v>37</v>
      </c>
      <c r="M388" s="4" t="s">
        <v>37</v>
      </c>
      <c r="N388" s="4" t="n">
        <v>2</v>
      </c>
      <c r="O388" s="4"/>
    </row>
    <row r="389" customFormat="false" ht="23.85" hidden="false" customHeight="false" outlineLevel="0" collapsed="false">
      <c r="A389" s="4" t="n">
        <v>30</v>
      </c>
      <c r="B389" s="4" t="s">
        <v>26</v>
      </c>
      <c r="C389" s="4" t="s">
        <v>1388</v>
      </c>
      <c r="D389" s="4" t="s">
        <v>1030</v>
      </c>
      <c r="E389" s="4" t="s">
        <v>1289</v>
      </c>
      <c r="F389" s="4" t="s">
        <v>1290</v>
      </c>
      <c r="G389" s="4" t="s">
        <v>119</v>
      </c>
      <c r="H389" s="4" t="s">
        <v>330</v>
      </c>
      <c r="I389" s="4" t="s">
        <v>191</v>
      </c>
      <c r="J389" s="4" t="s">
        <v>1408</v>
      </c>
      <c r="K389" s="4" t="s">
        <v>1410</v>
      </c>
      <c r="L389" s="4" t="s">
        <v>37</v>
      </c>
      <c r="M389" s="4" t="s">
        <v>36</v>
      </c>
      <c r="N389" s="4" t="n">
        <v>2</v>
      </c>
      <c r="O389" s="4"/>
    </row>
    <row r="390" customFormat="false" ht="35.05" hidden="false" customHeight="false" outlineLevel="0" collapsed="false">
      <c r="A390" s="4" t="n">
        <v>30</v>
      </c>
      <c r="B390" s="4" t="s">
        <v>26</v>
      </c>
      <c r="C390" s="4" t="s">
        <v>1388</v>
      </c>
      <c r="D390" s="4" t="s">
        <v>1030</v>
      </c>
      <c r="E390" s="4" t="s">
        <v>607</v>
      </c>
      <c r="F390" s="4" t="s">
        <v>608</v>
      </c>
      <c r="G390" s="4" t="s">
        <v>119</v>
      </c>
      <c r="H390" s="4" t="s">
        <v>609</v>
      </c>
      <c r="I390" s="4" t="s">
        <v>191</v>
      </c>
      <c r="J390" s="4" t="s">
        <v>1411</v>
      </c>
      <c r="K390" s="4" t="s">
        <v>1412</v>
      </c>
      <c r="L390" s="4" t="s">
        <v>37</v>
      </c>
      <c r="M390" s="4" t="s">
        <v>37</v>
      </c>
      <c r="N390" s="4" t="n">
        <v>4</v>
      </c>
      <c r="O390" s="4"/>
    </row>
    <row r="391" customFormat="false" ht="46.25" hidden="false" customHeight="false" outlineLevel="0" collapsed="false">
      <c r="A391" s="4" t="n">
        <v>30</v>
      </c>
      <c r="B391" s="4" t="s">
        <v>26</v>
      </c>
      <c r="C391" s="4" t="s">
        <v>1388</v>
      </c>
      <c r="D391" s="4" t="s">
        <v>1030</v>
      </c>
      <c r="E391" s="4" t="s">
        <v>611</v>
      </c>
      <c r="F391" s="4" t="s">
        <v>612</v>
      </c>
      <c r="G391" s="4" t="s">
        <v>119</v>
      </c>
      <c r="H391" s="4" t="s">
        <v>613</v>
      </c>
      <c r="I391" s="4" t="s">
        <v>191</v>
      </c>
      <c r="J391" s="4" t="s">
        <v>1413</v>
      </c>
      <c r="K391" s="4" t="s">
        <v>1414</v>
      </c>
      <c r="L391" s="4" t="s">
        <v>37</v>
      </c>
      <c r="M391" s="4" t="s">
        <v>37</v>
      </c>
      <c r="N391" s="4" t="n">
        <v>2</v>
      </c>
      <c r="O391" s="4"/>
    </row>
    <row r="392" customFormat="false" ht="23.85" hidden="false" customHeight="false" outlineLevel="0" collapsed="false">
      <c r="A392" s="4" t="n">
        <v>30</v>
      </c>
      <c r="B392" s="4" t="s">
        <v>26</v>
      </c>
      <c r="C392" s="4" t="s">
        <v>1388</v>
      </c>
      <c r="D392" s="4" t="s">
        <v>1030</v>
      </c>
      <c r="E392" s="4" t="s">
        <v>702</v>
      </c>
      <c r="F392" s="4" t="s">
        <v>703</v>
      </c>
      <c r="G392" s="4" t="s">
        <v>114</v>
      </c>
      <c r="H392" s="4" t="s">
        <v>704</v>
      </c>
      <c r="I392" s="4" t="s">
        <v>191</v>
      </c>
      <c r="J392" s="4" t="s">
        <v>1411</v>
      </c>
      <c r="K392" s="4" t="s">
        <v>705</v>
      </c>
      <c r="L392" s="4" t="s">
        <v>37</v>
      </c>
      <c r="M392" s="4" t="s">
        <v>37</v>
      </c>
      <c r="N392" s="4" t="n">
        <v>2</v>
      </c>
      <c r="O392" s="4" t="s">
        <v>1415</v>
      </c>
    </row>
    <row r="393" customFormat="false" ht="15" hidden="false" customHeight="false" outlineLevel="0" collapsed="false">
      <c r="A393" s="4" t="n">
        <v>31</v>
      </c>
      <c r="B393" s="4" t="s">
        <v>1416</v>
      </c>
      <c r="C393" s="4" t="s">
        <v>1417</v>
      </c>
      <c r="D393" s="4" t="s">
        <v>1418</v>
      </c>
      <c r="E393" s="4" t="s">
        <v>1419</v>
      </c>
      <c r="F393" s="4" t="s">
        <v>1420</v>
      </c>
      <c r="G393" s="4" t="s">
        <v>55</v>
      </c>
      <c r="H393" s="4" t="s">
        <v>1421</v>
      </c>
      <c r="I393" s="4" t="s">
        <v>93</v>
      </c>
      <c r="J393" s="4" t="s">
        <v>1422</v>
      </c>
      <c r="K393" s="4" t="s">
        <v>51</v>
      </c>
      <c r="L393" s="4" t="s">
        <v>36</v>
      </c>
      <c r="M393" s="4" t="s">
        <v>36</v>
      </c>
      <c r="N393" s="4" t="n">
        <v>1</v>
      </c>
      <c r="O393" s="4" t="s">
        <v>1423</v>
      </c>
    </row>
    <row r="394" customFormat="false" ht="15" hidden="false" customHeight="false" outlineLevel="0" collapsed="false">
      <c r="A394" s="4" t="n">
        <v>31</v>
      </c>
      <c r="B394" s="4" t="s">
        <v>1416</v>
      </c>
      <c r="C394" s="4" t="s">
        <v>1417</v>
      </c>
      <c r="D394" s="4" t="s">
        <v>1418</v>
      </c>
      <c r="E394" s="4" t="s">
        <v>1424</v>
      </c>
      <c r="F394" s="4" t="s">
        <v>1425</v>
      </c>
      <c r="G394" s="4" t="s">
        <v>114</v>
      </c>
      <c r="H394" s="4" t="s">
        <v>1426</v>
      </c>
      <c r="I394" s="4" t="s">
        <v>93</v>
      </c>
      <c r="J394" s="4" t="s">
        <v>1427</v>
      </c>
      <c r="K394" s="4" t="s">
        <v>51</v>
      </c>
      <c r="L394" s="4" t="s">
        <v>36</v>
      </c>
      <c r="M394" s="4" t="s">
        <v>37</v>
      </c>
      <c r="N394" s="4" t="n">
        <v>1</v>
      </c>
      <c r="O394" s="4"/>
    </row>
    <row r="395" customFormat="false" ht="15" hidden="false" customHeight="false" outlineLevel="0" collapsed="false">
      <c r="A395" s="4" t="n">
        <v>31</v>
      </c>
      <c r="B395" s="4" t="s">
        <v>1416</v>
      </c>
      <c r="C395" s="4" t="s">
        <v>1417</v>
      </c>
      <c r="D395" s="4" t="s">
        <v>1418</v>
      </c>
      <c r="E395" s="4" t="s">
        <v>1428</v>
      </c>
      <c r="F395" s="4" t="s">
        <v>1429</v>
      </c>
      <c r="G395" s="4" t="s">
        <v>55</v>
      </c>
      <c r="H395" s="4" t="s">
        <v>1430</v>
      </c>
      <c r="I395" s="4" t="s">
        <v>93</v>
      </c>
      <c r="J395" s="4" t="s">
        <v>1431</v>
      </c>
      <c r="K395" s="4" t="s">
        <v>51</v>
      </c>
      <c r="L395" s="4" t="s">
        <v>36</v>
      </c>
      <c r="M395" s="4" t="s">
        <v>37</v>
      </c>
      <c r="N395" s="4" t="n">
        <v>1</v>
      </c>
      <c r="O395" s="4" t="s">
        <v>1432</v>
      </c>
    </row>
    <row r="396" customFormat="false" ht="15" hidden="false" customHeight="false" outlineLevel="0" collapsed="false">
      <c r="A396" s="4" t="n">
        <v>31</v>
      </c>
      <c r="B396" s="4" t="s">
        <v>1416</v>
      </c>
      <c r="C396" s="4" t="s">
        <v>1417</v>
      </c>
      <c r="D396" s="4" t="s">
        <v>1418</v>
      </c>
      <c r="E396" s="4" t="s">
        <v>1433</v>
      </c>
      <c r="F396" s="4" t="s">
        <v>1434</v>
      </c>
      <c r="G396" s="4" t="s">
        <v>55</v>
      </c>
      <c r="H396" s="4" t="s">
        <v>1435</v>
      </c>
      <c r="I396" s="4" t="s">
        <v>93</v>
      </c>
      <c r="J396" s="4" t="s">
        <v>1436</v>
      </c>
      <c r="K396" s="4" t="s">
        <v>51</v>
      </c>
      <c r="L396" s="4" t="s">
        <v>36</v>
      </c>
      <c r="M396" s="4" t="s">
        <v>37</v>
      </c>
      <c r="N396" s="4" t="n">
        <v>1</v>
      </c>
      <c r="O396" s="4" t="s">
        <v>1437</v>
      </c>
    </row>
    <row r="397" customFormat="false" ht="15" hidden="false" customHeight="false" outlineLevel="0" collapsed="false">
      <c r="A397" s="4" t="n">
        <v>31</v>
      </c>
      <c r="B397" s="4" t="s">
        <v>1416</v>
      </c>
      <c r="C397" s="4" t="s">
        <v>1417</v>
      </c>
      <c r="D397" s="4" t="s">
        <v>1418</v>
      </c>
      <c r="E397" s="4" t="s">
        <v>1438</v>
      </c>
      <c r="F397" s="4" t="s">
        <v>1439</v>
      </c>
      <c r="G397" s="4" t="s">
        <v>55</v>
      </c>
      <c r="H397" s="4" t="s">
        <v>1440</v>
      </c>
      <c r="I397" s="4" t="s">
        <v>149</v>
      </c>
      <c r="J397" s="4" t="s">
        <v>1441</v>
      </c>
      <c r="K397" s="4" t="s">
        <v>102</v>
      </c>
      <c r="L397" s="4" t="s">
        <v>36</v>
      </c>
      <c r="M397" s="4" t="s">
        <v>37</v>
      </c>
      <c r="N397" s="4" t="n">
        <v>1</v>
      </c>
      <c r="O397" s="4"/>
    </row>
    <row r="398" customFormat="false" ht="15" hidden="false" customHeight="false" outlineLevel="0" collapsed="false">
      <c r="A398" s="4" t="n">
        <v>31</v>
      </c>
      <c r="B398" s="4" t="s">
        <v>1416</v>
      </c>
      <c r="C398" s="4" t="s">
        <v>1417</v>
      </c>
      <c r="D398" s="4" t="s">
        <v>1418</v>
      </c>
      <c r="E398" s="4" t="s">
        <v>1442</v>
      </c>
      <c r="F398" s="4" t="s">
        <v>1443</v>
      </c>
      <c r="G398" s="4" t="s">
        <v>55</v>
      </c>
      <c r="H398" s="4" t="s">
        <v>1444</v>
      </c>
      <c r="I398" s="4" t="s">
        <v>149</v>
      </c>
      <c r="J398" s="4" t="s">
        <v>1445</v>
      </c>
      <c r="K398" s="4" t="s">
        <v>102</v>
      </c>
      <c r="L398" s="4" t="s">
        <v>36</v>
      </c>
      <c r="M398" s="4" t="s">
        <v>37</v>
      </c>
      <c r="N398" s="4" t="n">
        <v>1</v>
      </c>
      <c r="O398" s="4"/>
    </row>
    <row r="399" customFormat="false" ht="15" hidden="false" customHeight="false" outlineLevel="0" collapsed="false">
      <c r="A399" s="4" t="n">
        <v>31</v>
      </c>
      <c r="B399" s="4" t="s">
        <v>1416</v>
      </c>
      <c r="C399" s="4" t="s">
        <v>1417</v>
      </c>
      <c r="D399" s="4" t="s">
        <v>1418</v>
      </c>
      <c r="E399" s="4" t="s">
        <v>1446</v>
      </c>
      <c r="F399" s="4" t="s">
        <v>1447</v>
      </c>
      <c r="G399" s="4" t="s">
        <v>114</v>
      </c>
      <c r="H399" s="4" t="s">
        <v>1448</v>
      </c>
      <c r="I399" s="4" t="s">
        <v>149</v>
      </c>
      <c r="J399" s="4" t="s">
        <v>1449</v>
      </c>
      <c r="K399" s="4" t="s">
        <v>51</v>
      </c>
      <c r="L399" s="4" t="s">
        <v>36</v>
      </c>
      <c r="M399" s="4" t="s">
        <v>37</v>
      </c>
      <c r="N399" s="4" t="n">
        <v>1</v>
      </c>
      <c r="O399" s="4"/>
    </row>
    <row r="400" customFormat="false" ht="15" hidden="false" customHeight="false" outlineLevel="0" collapsed="false">
      <c r="A400" s="4" t="n">
        <v>31</v>
      </c>
      <c r="B400" s="4" t="s">
        <v>1416</v>
      </c>
      <c r="C400" s="4" t="s">
        <v>1417</v>
      </c>
      <c r="D400" s="4" t="s">
        <v>1418</v>
      </c>
      <c r="E400" s="4" t="s">
        <v>1450</v>
      </c>
      <c r="F400" s="4" t="s">
        <v>1451</v>
      </c>
      <c r="G400" s="4" t="s">
        <v>55</v>
      </c>
      <c r="H400" s="4" t="s">
        <v>1452</v>
      </c>
      <c r="I400" s="4" t="s">
        <v>149</v>
      </c>
      <c r="J400" s="4" t="s">
        <v>1453</v>
      </c>
      <c r="K400" s="4" t="s">
        <v>51</v>
      </c>
      <c r="L400" s="4" t="s">
        <v>36</v>
      </c>
      <c r="M400" s="4" t="s">
        <v>37</v>
      </c>
      <c r="N400" s="4" t="n">
        <v>1</v>
      </c>
      <c r="O400" s="4"/>
    </row>
    <row r="401" customFormat="false" ht="15" hidden="false" customHeight="false" outlineLevel="0" collapsed="false">
      <c r="A401" s="4" t="n">
        <v>31</v>
      </c>
      <c r="B401" s="4" t="s">
        <v>1416</v>
      </c>
      <c r="C401" s="4" t="s">
        <v>1417</v>
      </c>
      <c r="D401" s="4" t="s">
        <v>1418</v>
      </c>
      <c r="E401" s="4" t="s">
        <v>1454</v>
      </c>
      <c r="F401" s="4" t="s">
        <v>1455</v>
      </c>
      <c r="G401" s="4" t="s">
        <v>55</v>
      </c>
      <c r="H401" s="4" t="s">
        <v>1456</v>
      </c>
      <c r="I401" s="4" t="s">
        <v>149</v>
      </c>
      <c r="J401" s="4" t="s">
        <v>1457</v>
      </c>
      <c r="K401" s="4" t="s">
        <v>102</v>
      </c>
      <c r="L401" s="4" t="s">
        <v>36</v>
      </c>
      <c r="M401" s="4" t="s">
        <v>37</v>
      </c>
      <c r="N401" s="4" t="n">
        <v>1</v>
      </c>
      <c r="O401" s="4" t="s">
        <v>1458</v>
      </c>
    </row>
    <row r="402" customFormat="false" ht="23.85" hidden="false" customHeight="false" outlineLevel="0" collapsed="false">
      <c r="A402" s="4" t="n">
        <v>31</v>
      </c>
      <c r="B402" s="4" t="s">
        <v>1416</v>
      </c>
      <c r="C402" s="4" t="s">
        <v>1417</v>
      </c>
      <c r="D402" s="4" t="s">
        <v>1418</v>
      </c>
      <c r="E402" s="4" t="s">
        <v>607</v>
      </c>
      <c r="F402" s="4" t="s">
        <v>608</v>
      </c>
      <c r="G402" s="4" t="s">
        <v>119</v>
      </c>
      <c r="H402" s="4" t="s">
        <v>609</v>
      </c>
      <c r="I402" s="4" t="s">
        <v>191</v>
      </c>
      <c r="J402" s="4" t="s">
        <v>1459</v>
      </c>
      <c r="K402" s="4" t="s">
        <v>51</v>
      </c>
      <c r="L402" s="4" t="s">
        <v>37</v>
      </c>
      <c r="M402" s="4" t="s">
        <v>37</v>
      </c>
      <c r="N402" s="4" t="n">
        <v>4</v>
      </c>
      <c r="O402" s="4"/>
    </row>
    <row r="403" customFormat="false" ht="23.85" hidden="false" customHeight="false" outlineLevel="0" collapsed="false">
      <c r="A403" s="4" t="n">
        <v>31</v>
      </c>
      <c r="B403" s="4" t="s">
        <v>1416</v>
      </c>
      <c r="C403" s="4" t="s">
        <v>1417</v>
      </c>
      <c r="D403" s="4" t="s">
        <v>1418</v>
      </c>
      <c r="E403" s="4" t="s">
        <v>1110</v>
      </c>
      <c r="F403" s="4" t="s">
        <v>1111</v>
      </c>
      <c r="G403" s="4" t="s">
        <v>119</v>
      </c>
      <c r="H403" s="4" t="s">
        <v>1112</v>
      </c>
      <c r="I403" s="4" t="s">
        <v>191</v>
      </c>
      <c r="J403" s="4" t="s">
        <v>1460</v>
      </c>
      <c r="K403" s="4" t="s">
        <v>51</v>
      </c>
      <c r="L403" s="4" t="s">
        <v>37</v>
      </c>
      <c r="M403" s="4" t="s">
        <v>37</v>
      </c>
      <c r="N403" s="4" t="n">
        <v>2</v>
      </c>
      <c r="O403" s="4"/>
    </row>
    <row r="404" customFormat="false" ht="15" hidden="false" customHeight="false" outlineLevel="0" collapsed="false">
      <c r="A404" s="4" t="n">
        <v>31</v>
      </c>
      <c r="B404" s="4" t="s">
        <v>1416</v>
      </c>
      <c r="C404" s="4" t="s">
        <v>1417</v>
      </c>
      <c r="D404" s="4" t="s">
        <v>1418</v>
      </c>
      <c r="E404" s="4" t="s">
        <v>1461</v>
      </c>
      <c r="F404" s="4" t="s">
        <v>1462</v>
      </c>
      <c r="G404" s="4" t="s">
        <v>119</v>
      </c>
      <c r="H404" s="4" t="s">
        <v>1463</v>
      </c>
      <c r="I404" s="4" t="s">
        <v>120</v>
      </c>
      <c r="J404" s="4" t="s">
        <v>1464</v>
      </c>
      <c r="K404" s="4" t="s">
        <v>102</v>
      </c>
      <c r="L404" s="4" t="s">
        <v>36</v>
      </c>
      <c r="M404" s="4" t="s">
        <v>37</v>
      </c>
      <c r="N404" s="4" t="n">
        <v>1</v>
      </c>
      <c r="O404" s="4" t="s">
        <v>1465</v>
      </c>
    </row>
    <row r="405" customFormat="false" ht="15" hidden="false" customHeight="false" outlineLevel="0" collapsed="false">
      <c r="A405" s="4" t="n">
        <v>31</v>
      </c>
      <c r="B405" s="4" t="s">
        <v>1416</v>
      </c>
      <c r="C405" s="4" t="s">
        <v>1417</v>
      </c>
      <c r="D405" s="4" t="s">
        <v>1418</v>
      </c>
      <c r="E405" s="4" t="s">
        <v>1466</v>
      </c>
      <c r="F405" s="4" t="s">
        <v>1467</v>
      </c>
      <c r="G405" s="4" t="s">
        <v>55</v>
      </c>
      <c r="H405" s="4" t="s">
        <v>1468</v>
      </c>
      <c r="I405" s="4" t="s">
        <v>120</v>
      </c>
      <c r="J405" s="4" t="s">
        <v>1469</v>
      </c>
      <c r="K405" s="4" t="s">
        <v>51</v>
      </c>
      <c r="L405" s="4" t="s">
        <v>36</v>
      </c>
      <c r="M405" s="4" t="s">
        <v>37</v>
      </c>
      <c r="N405" s="4" t="n">
        <v>1</v>
      </c>
      <c r="O405" s="4"/>
    </row>
    <row r="406" customFormat="false" ht="15" hidden="false" customHeight="false" outlineLevel="0" collapsed="false">
      <c r="A406" s="4" t="n">
        <v>32</v>
      </c>
      <c r="B406" s="4" t="s">
        <v>1470</v>
      </c>
      <c r="C406" s="4" t="s">
        <v>1471</v>
      </c>
      <c r="D406" s="4" t="s">
        <v>1472</v>
      </c>
      <c r="E406" s="4" t="s">
        <v>1473</v>
      </c>
      <c r="F406" s="4" t="s">
        <v>1474</v>
      </c>
      <c r="G406" s="4" t="s">
        <v>55</v>
      </c>
      <c r="H406" s="4" t="s">
        <v>1475</v>
      </c>
      <c r="I406" s="4" t="s">
        <v>93</v>
      </c>
      <c r="J406" s="4" t="s">
        <v>1476</v>
      </c>
      <c r="K406" s="4" t="s">
        <v>102</v>
      </c>
      <c r="L406" s="4" t="s">
        <v>36</v>
      </c>
      <c r="M406" s="4" t="s">
        <v>37</v>
      </c>
      <c r="N406" s="4" t="n">
        <v>3</v>
      </c>
      <c r="O406" s="4"/>
    </row>
    <row r="407" customFormat="false" ht="15" hidden="false" customHeight="false" outlineLevel="0" collapsed="false">
      <c r="A407" s="4" t="n">
        <v>32</v>
      </c>
      <c r="B407" s="4" t="s">
        <v>1470</v>
      </c>
      <c r="C407" s="4" t="s">
        <v>1471</v>
      </c>
      <c r="D407" s="4" t="s">
        <v>1472</v>
      </c>
      <c r="E407" s="4" t="s">
        <v>1477</v>
      </c>
      <c r="F407" s="4" t="s">
        <v>1478</v>
      </c>
      <c r="G407" s="4" t="s">
        <v>55</v>
      </c>
      <c r="H407" s="4" t="s">
        <v>1479</v>
      </c>
      <c r="I407" s="4" t="s">
        <v>93</v>
      </c>
      <c r="J407" s="4" t="s">
        <v>1480</v>
      </c>
      <c r="K407" s="4" t="s">
        <v>102</v>
      </c>
      <c r="L407" s="4" t="s">
        <v>36</v>
      </c>
      <c r="M407" s="4" t="s">
        <v>37</v>
      </c>
      <c r="N407" s="4" t="n">
        <v>2</v>
      </c>
      <c r="O407" s="4"/>
    </row>
    <row r="408" customFormat="false" ht="15" hidden="false" customHeight="false" outlineLevel="0" collapsed="false">
      <c r="A408" s="4" t="n">
        <v>32</v>
      </c>
      <c r="B408" s="4" t="s">
        <v>1470</v>
      </c>
      <c r="C408" s="4" t="s">
        <v>1471</v>
      </c>
      <c r="D408" s="4" t="s">
        <v>1472</v>
      </c>
      <c r="E408" s="4" t="s">
        <v>1481</v>
      </c>
      <c r="F408" s="4" t="s">
        <v>1482</v>
      </c>
      <c r="G408" s="4" t="s">
        <v>55</v>
      </c>
      <c r="H408" s="4" t="s">
        <v>668</v>
      </c>
      <c r="I408" s="4" t="s">
        <v>93</v>
      </c>
      <c r="J408" s="4" t="s">
        <v>1483</v>
      </c>
      <c r="K408" s="4" t="s">
        <v>102</v>
      </c>
      <c r="L408" s="4" t="s">
        <v>36</v>
      </c>
      <c r="M408" s="4" t="s">
        <v>37</v>
      </c>
      <c r="N408" s="4" t="n">
        <v>1</v>
      </c>
      <c r="O408" s="4"/>
    </row>
    <row r="409" customFormat="false" ht="46.25" hidden="false" customHeight="false" outlineLevel="0" collapsed="false">
      <c r="A409" s="4" t="n">
        <v>32</v>
      </c>
      <c r="B409" s="4" t="s">
        <v>1470</v>
      </c>
      <c r="C409" s="4" t="s">
        <v>1471</v>
      </c>
      <c r="D409" s="4" t="s">
        <v>1472</v>
      </c>
      <c r="E409" s="4" t="s">
        <v>1484</v>
      </c>
      <c r="F409" s="4" t="s">
        <v>1485</v>
      </c>
      <c r="G409" s="4" t="s">
        <v>119</v>
      </c>
      <c r="H409" s="4" t="s">
        <v>1486</v>
      </c>
      <c r="I409" s="4" t="s">
        <v>93</v>
      </c>
      <c r="J409" s="4" t="s">
        <v>1487</v>
      </c>
      <c r="K409" s="4" t="s">
        <v>1488</v>
      </c>
      <c r="L409" s="4" t="s">
        <v>36</v>
      </c>
      <c r="M409" s="4" t="s">
        <v>37</v>
      </c>
      <c r="N409" s="4" t="n">
        <v>3</v>
      </c>
      <c r="O409" s="4" t="s">
        <v>1489</v>
      </c>
    </row>
    <row r="410" customFormat="false" ht="46.25" hidden="false" customHeight="false" outlineLevel="0" collapsed="false">
      <c r="A410" s="4" t="n">
        <v>32</v>
      </c>
      <c r="B410" s="4" t="s">
        <v>1470</v>
      </c>
      <c r="C410" s="4" t="s">
        <v>1471</v>
      </c>
      <c r="D410" s="4" t="s">
        <v>1472</v>
      </c>
      <c r="E410" s="4" t="s">
        <v>1490</v>
      </c>
      <c r="F410" s="4" t="s">
        <v>1491</v>
      </c>
      <c r="G410" s="4" t="s">
        <v>119</v>
      </c>
      <c r="H410" s="4" t="s">
        <v>1492</v>
      </c>
      <c r="I410" s="4" t="s">
        <v>93</v>
      </c>
      <c r="J410" s="4" t="s">
        <v>1493</v>
      </c>
      <c r="K410" s="4" t="s">
        <v>1494</v>
      </c>
      <c r="L410" s="4" t="s">
        <v>36</v>
      </c>
      <c r="M410" s="4" t="s">
        <v>37</v>
      </c>
      <c r="N410" s="4" t="n">
        <v>3</v>
      </c>
      <c r="O410" s="4" t="s">
        <v>1495</v>
      </c>
    </row>
    <row r="411" customFormat="false" ht="46.25" hidden="false" customHeight="false" outlineLevel="0" collapsed="false">
      <c r="A411" s="4" t="n">
        <v>32</v>
      </c>
      <c r="B411" s="4" t="s">
        <v>1470</v>
      </c>
      <c r="C411" s="4" t="s">
        <v>1471</v>
      </c>
      <c r="D411" s="4" t="s">
        <v>1472</v>
      </c>
      <c r="E411" s="4" t="s">
        <v>1496</v>
      </c>
      <c r="F411" s="4" t="s">
        <v>1497</v>
      </c>
      <c r="G411" s="4" t="s">
        <v>55</v>
      </c>
      <c r="H411" s="4" t="s">
        <v>1498</v>
      </c>
      <c r="I411" s="4" t="s">
        <v>149</v>
      </c>
      <c r="J411" s="4" t="s">
        <v>1499</v>
      </c>
      <c r="K411" s="4" t="s">
        <v>1488</v>
      </c>
      <c r="L411" s="4" t="s">
        <v>36</v>
      </c>
      <c r="M411" s="4" t="s">
        <v>37</v>
      </c>
      <c r="N411" s="4" t="n">
        <v>3</v>
      </c>
      <c r="O411" s="4"/>
    </row>
    <row r="412" customFormat="false" ht="46.25" hidden="false" customHeight="false" outlineLevel="0" collapsed="false">
      <c r="A412" s="4" t="n">
        <v>32</v>
      </c>
      <c r="B412" s="4" t="s">
        <v>1470</v>
      </c>
      <c r="C412" s="4" t="s">
        <v>1471</v>
      </c>
      <c r="D412" s="4" t="s">
        <v>1472</v>
      </c>
      <c r="E412" s="4" t="s">
        <v>1500</v>
      </c>
      <c r="F412" s="4" t="s">
        <v>1501</v>
      </c>
      <c r="G412" s="4" t="s">
        <v>119</v>
      </c>
      <c r="H412" s="4" t="s">
        <v>1502</v>
      </c>
      <c r="I412" s="4" t="s">
        <v>149</v>
      </c>
      <c r="J412" s="4" t="s">
        <v>1503</v>
      </c>
      <c r="K412" s="4" t="s">
        <v>1504</v>
      </c>
      <c r="L412" s="4" t="s">
        <v>36</v>
      </c>
      <c r="M412" s="4" t="s">
        <v>37</v>
      </c>
      <c r="N412" s="4" t="n">
        <v>3</v>
      </c>
      <c r="O412" s="4"/>
    </row>
    <row r="413" customFormat="false" ht="35.05" hidden="false" customHeight="false" outlineLevel="0" collapsed="false">
      <c r="A413" s="4" t="n">
        <v>32</v>
      </c>
      <c r="B413" s="4" t="s">
        <v>1470</v>
      </c>
      <c r="C413" s="4" t="s">
        <v>1471</v>
      </c>
      <c r="D413" s="4" t="s">
        <v>1472</v>
      </c>
      <c r="E413" s="4" t="s">
        <v>1505</v>
      </c>
      <c r="F413" s="4" t="s">
        <v>1506</v>
      </c>
      <c r="G413" s="4" t="s">
        <v>119</v>
      </c>
      <c r="H413" s="4" t="s">
        <v>1507</v>
      </c>
      <c r="I413" s="4" t="s">
        <v>149</v>
      </c>
      <c r="J413" s="4" t="s">
        <v>1508</v>
      </c>
      <c r="K413" s="4" t="s">
        <v>1509</v>
      </c>
      <c r="L413" s="4" t="s">
        <v>36</v>
      </c>
      <c r="M413" s="4" t="s">
        <v>37</v>
      </c>
      <c r="N413" s="4" t="n">
        <v>3</v>
      </c>
      <c r="O413" s="4"/>
    </row>
    <row r="414" customFormat="false" ht="15" hidden="false" customHeight="false" outlineLevel="0" collapsed="false">
      <c r="A414" s="4" t="n">
        <v>32</v>
      </c>
      <c r="B414" s="4" t="s">
        <v>1470</v>
      </c>
      <c r="C414" s="4" t="s">
        <v>1471</v>
      </c>
      <c r="D414" s="4" t="s">
        <v>1472</v>
      </c>
      <c r="E414" s="4" t="s">
        <v>1510</v>
      </c>
      <c r="F414" s="4" t="s">
        <v>1511</v>
      </c>
      <c r="G414" s="4" t="s">
        <v>55</v>
      </c>
      <c r="H414" s="4" t="s">
        <v>498</v>
      </c>
      <c r="I414" s="4" t="s">
        <v>149</v>
      </c>
      <c r="J414" s="4" t="s">
        <v>1512</v>
      </c>
      <c r="K414" s="4" t="s">
        <v>51</v>
      </c>
      <c r="L414" s="4" t="s">
        <v>36</v>
      </c>
      <c r="M414" s="4" t="s">
        <v>36</v>
      </c>
      <c r="N414" s="4" t="n">
        <v>1</v>
      </c>
      <c r="O414" s="4" t="s">
        <v>1513</v>
      </c>
    </row>
    <row r="415" customFormat="false" ht="15" hidden="false" customHeight="false" outlineLevel="0" collapsed="false">
      <c r="A415" s="4" t="n">
        <v>32</v>
      </c>
      <c r="B415" s="4" t="s">
        <v>1470</v>
      </c>
      <c r="C415" s="4" t="s">
        <v>1471</v>
      </c>
      <c r="D415" s="4" t="s">
        <v>1472</v>
      </c>
      <c r="E415" s="4" t="s">
        <v>1514</v>
      </c>
      <c r="F415" s="4" t="s">
        <v>1515</v>
      </c>
      <c r="G415" s="4" t="s">
        <v>55</v>
      </c>
      <c r="H415" s="4" t="s">
        <v>330</v>
      </c>
      <c r="I415" s="4" t="s">
        <v>149</v>
      </c>
      <c r="J415" s="4" t="s">
        <v>1516</v>
      </c>
      <c r="K415" s="4" t="s">
        <v>51</v>
      </c>
      <c r="L415" s="4" t="s">
        <v>36</v>
      </c>
      <c r="M415" s="4" t="s">
        <v>37</v>
      </c>
      <c r="N415" s="4" t="n">
        <v>1</v>
      </c>
      <c r="O415" s="4" t="s">
        <v>1517</v>
      </c>
    </row>
    <row r="416" customFormat="false" ht="23.85" hidden="false" customHeight="false" outlineLevel="0" collapsed="false">
      <c r="A416" s="4" t="n">
        <v>32</v>
      </c>
      <c r="B416" s="4" t="s">
        <v>1470</v>
      </c>
      <c r="C416" s="4" t="s">
        <v>1471</v>
      </c>
      <c r="D416" s="4" t="s">
        <v>1472</v>
      </c>
      <c r="E416" s="4" t="s">
        <v>990</v>
      </c>
      <c r="F416" s="4" t="s">
        <v>991</v>
      </c>
      <c r="G416" s="4" t="s">
        <v>55</v>
      </c>
      <c r="H416" s="4" t="s">
        <v>177</v>
      </c>
      <c r="I416" s="4" t="s">
        <v>191</v>
      </c>
      <c r="J416" s="4" t="s">
        <v>1518</v>
      </c>
      <c r="K416" s="4" t="s">
        <v>51</v>
      </c>
      <c r="L416" s="4" t="s">
        <v>37</v>
      </c>
      <c r="M416" s="4" t="s">
        <v>36</v>
      </c>
      <c r="N416" s="4" t="n">
        <v>2</v>
      </c>
      <c r="O416" s="4"/>
    </row>
    <row r="417" customFormat="false" ht="15" hidden="false" customHeight="false" outlineLevel="0" collapsed="false">
      <c r="A417" s="4" t="n">
        <v>32</v>
      </c>
      <c r="B417" s="4" t="s">
        <v>1470</v>
      </c>
      <c r="C417" s="4" t="s">
        <v>1471</v>
      </c>
      <c r="D417" s="4" t="s">
        <v>1472</v>
      </c>
      <c r="E417" s="4" t="s">
        <v>1519</v>
      </c>
      <c r="F417" s="4" t="s">
        <v>1520</v>
      </c>
      <c r="G417" s="4" t="s">
        <v>55</v>
      </c>
      <c r="H417" s="4" t="s">
        <v>1521</v>
      </c>
      <c r="I417" s="4" t="s">
        <v>120</v>
      </c>
      <c r="J417" s="4" t="s">
        <v>1522</v>
      </c>
      <c r="K417" s="4" t="s">
        <v>51</v>
      </c>
      <c r="L417" s="4" t="s">
        <v>36</v>
      </c>
      <c r="M417" s="4" t="s">
        <v>37</v>
      </c>
      <c r="N417" s="4" t="n">
        <v>1</v>
      </c>
      <c r="O417" s="4" t="s">
        <v>1523</v>
      </c>
    </row>
    <row r="418" customFormat="false" ht="15" hidden="false" customHeight="false" outlineLevel="0" collapsed="false">
      <c r="A418" s="4" t="n">
        <v>32</v>
      </c>
      <c r="B418" s="4" t="s">
        <v>1470</v>
      </c>
      <c r="C418" s="4" t="s">
        <v>1471</v>
      </c>
      <c r="D418" s="4" t="s">
        <v>1472</v>
      </c>
      <c r="E418" s="4" t="s">
        <v>1524</v>
      </c>
      <c r="F418" s="4" t="s">
        <v>1525</v>
      </c>
      <c r="G418" s="4" t="s">
        <v>176</v>
      </c>
      <c r="H418" s="4" t="s">
        <v>1043</v>
      </c>
      <c r="I418" s="4" t="s">
        <v>120</v>
      </c>
      <c r="J418" s="4" t="s">
        <v>1526</v>
      </c>
      <c r="K418" s="4" t="s">
        <v>102</v>
      </c>
      <c r="L418" s="4" t="s">
        <v>36</v>
      </c>
      <c r="M418" s="4" t="s">
        <v>37</v>
      </c>
      <c r="N418" s="4" t="n">
        <v>1</v>
      </c>
      <c r="O418" s="4" t="s">
        <v>1527</v>
      </c>
    </row>
    <row r="419" customFormat="false" ht="15" hidden="false" customHeight="false" outlineLevel="0" collapsed="false">
      <c r="A419" s="4" t="n">
        <v>33</v>
      </c>
      <c r="B419" s="4" t="s">
        <v>1528</v>
      </c>
      <c r="C419" s="4" t="s">
        <v>1529</v>
      </c>
      <c r="D419" s="4" t="s">
        <v>1530</v>
      </c>
      <c r="E419" s="4" t="s">
        <v>1531</v>
      </c>
      <c r="F419" s="4" t="s">
        <v>1532</v>
      </c>
      <c r="G419" s="4" t="s">
        <v>55</v>
      </c>
      <c r="H419" s="4" t="s">
        <v>1533</v>
      </c>
      <c r="I419" s="4" t="s">
        <v>184</v>
      </c>
      <c r="J419" s="4" t="s">
        <v>1534</v>
      </c>
      <c r="K419" s="4" t="s">
        <v>51</v>
      </c>
      <c r="L419" s="4" t="s">
        <v>36</v>
      </c>
      <c r="M419" s="4" t="s">
        <v>37</v>
      </c>
      <c r="N419" s="4" t="n">
        <v>2</v>
      </c>
      <c r="O419" s="4" t="s">
        <v>1535</v>
      </c>
    </row>
    <row r="420" customFormat="false" ht="15" hidden="false" customHeight="false" outlineLevel="0" collapsed="false">
      <c r="A420" s="4" t="n">
        <v>33</v>
      </c>
      <c r="B420" s="4" t="s">
        <v>1528</v>
      </c>
      <c r="C420" s="4" t="s">
        <v>1529</v>
      </c>
      <c r="D420" s="4" t="s">
        <v>1530</v>
      </c>
      <c r="E420" s="4" t="s">
        <v>1536</v>
      </c>
      <c r="F420" s="4" t="s">
        <v>1537</v>
      </c>
      <c r="G420" s="4" t="s">
        <v>55</v>
      </c>
      <c r="H420" s="4" t="s">
        <v>1538</v>
      </c>
      <c r="I420" s="4" t="s">
        <v>184</v>
      </c>
      <c r="J420" s="4" t="s">
        <v>1539</v>
      </c>
      <c r="K420" s="4" t="s">
        <v>51</v>
      </c>
      <c r="L420" s="4" t="s">
        <v>36</v>
      </c>
      <c r="M420" s="4" t="s">
        <v>37</v>
      </c>
      <c r="N420" s="4" t="n">
        <v>2</v>
      </c>
      <c r="O420" s="4" t="s">
        <v>1540</v>
      </c>
    </row>
    <row r="421" customFormat="false" ht="15" hidden="false" customHeight="false" outlineLevel="0" collapsed="false">
      <c r="A421" s="4" t="n">
        <v>33</v>
      </c>
      <c r="B421" s="4" t="s">
        <v>1528</v>
      </c>
      <c r="C421" s="4" t="s">
        <v>1529</v>
      </c>
      <c r="D421" s="4" t="s">
        <v>1530</v>
      </c>
      <c r="E421" s="4" t="s">
        <v>1541</v>
      </c>
      <c r="F421" s="4" t="s">
        <v>1542</v>
      </c>
      <c r="G421" s="4" t="s">
        <v>55</v>
      </c>
      <c r="H421" s="4" t="s">
        <v>153</v>
      </c>
      <c r="I421" s="4" t="s">
        <v>184</v>
      </c>
      <c r="J421" s="4" t="s">
        <v>1543</v>
      </c>
      <c r="K421" s="4" t="s">
        <v>51</v>
      </c>
      <c r="L421" s="4" t="s">
        <v>36</v>
      </c>
      <c r="M421" s="4" t="s">
        <v>37</v>
      </c>
      <c r="N421" s="4" t="n">
        <v>1</v>
      </c>
      <c r="O421" s="4" t="s">
        <v>626</v>
      </c>
    </row>
    <row r="422" customFormat="false" ht="15" hidden="false" customHeight="false" outlineLevel="0" collapsed="false">
      <c r="A422" s="4" t="n">
        <v>33</v>
      </c>
      <c r="B422" s="4" t="s">
        <v>1528</v>
      </c>
      <c r="C422" s="4" t="s">
        <v>1529</v>
      </c>
      <c r="D422" s="4" t="s">
        <v>1530</v>
      </c>
      <c r="E422" s="4" t="s">
        <v>1544</v>
      </c>
      <c r="F422" s="4" t="s">
        <v>1545</v>
      </c>
      <c r="G422" s="4" t="s">
        <v>114</v>
      </c>
      <c r="H422" s="4" t="s">
        <v>1546</v>
      </c>
      <c r="I422" s="4" t="s">
        <v>184</v>
      </c>
      <c r="J422" s="4" t="s">
        <v>1547</v>
      </c>
      <c r="K422" s="4" t="s">
        <v>51</v>
      </c>
      <c r="L422" s="4" t="s">
        <v>36</v>
      </c>
      <c r="M422" s="4" t="s">
        <v>37</v>
      </c>
      <c r="N422" s="4" t="n">
        <v>2</v>
      </c>
      <c r="O422" s="4" t="s">
        <v>1548</v>
      </c>
    </row>
    <row r="423" customFormat="false" ht="23.85" hidden="false" customHeight="false" outlineLevel="0" collapsed="false">
      <c r="A423" s="4" t="n">
        <v>33</v>
      </c>
      <c r="B423" s="4" t="s">
        <v>1528</v>
      </c>
      <c r="C423" s="4" t="s">
        <v>1529</v>
      </c>
      <c r="D423" s="4" t="s">
        <v>1530</v>
      </c>
      <c r="E423" s="4" t="s">
        <v>1496</v>
      </c>
      <c r="F423" s="4" t="s">
        <v>1497</v>
      </c>
      <c r="G423" s="4" t="s">
        <v>55</v>
      </c>
      <c r="H423" s="4" t="s">
        <v>1498</v>
      </c>
      <c r="I423" s="4" t="s">
        <v>191</v>
      </c>
      <c r="J423" s="4" t="s">
        <v>1549</v>
      </c>
      <c r="K423" s="4" t="s">
        <v>51</v>
      </c>
      <c r="L423" s="4" t="s">
        <v>37</v>
      </c>
      <c r="M423" s="4" t="s">
        <v>37</v>
      </c>
      <c r="N423" s="4" t="n">
        <v>3</v>
      </c>
      <c r="O423" s="4"/>
    </row>
    <row r="424" customFormat="false" ht="23.85" hidden="false" customHeight="false" outlineLevel="0" collapsed="false">
      <c r="A424" s="4" t="n">
        <v>33</v>
      </c>
      <c r="B424" s="4" t="s">
        <v>1528</v>
      </c>
      <c r="C424" s="4" t="s">
        <v>1529</v>
      </c>
      <c r="D424" s="4" t="s">
        <v>1530</v>
      </c>
      <c r="E424" s="4" t="s">
        <v>1490</v>
      </c>
      <c r="F424" s="4" t="s">
        <v>1491</v>
      </c>
      <c r="G424" s="4" t="s">
        <v>119</v>
      </c>
      <c r="H424" s="4" t="s">
        <v>1492</v>
      </c>
      <c r="I424" s="4" t="s">
        <v>191</v>
      </c>
      <c r="J424" s="4" t="s">
        <v>1550</v>
      </c>
      <c r="K424" s="4" t="s">
        <v>51</v>
      </c>
      <c r="L424" s="4" t="s">
        <v>37</v>
      </c>
      <c r="M424" s="4" t="s">
        <v>37</v>
      </c>
      <c r="N424" s="4" t="n">
        <v>3</v>
      </c>
      <c r="O424" s="4"/>
    </row>
    <row r="425" customFormat="false" ht="23.85" hidden="false" customHeight="false" outlineLevel="0" collapsed="false">
      <c r="A425" s="4" t="n">
        <v>33</v>
      </c>
      <c r="B425" s="4" t="s">
        <v>1528</v>
      </c>
      <c r="C425" s="4" t="s">
        <v>1529</v>
      </c>
      <c r="D425" s="4" t="s">
        <v>1530</v>
      </c>
      <c r="E425" s="4" t="s">
        <v>1484</v>
      </c>
      <c r="F425" s="4" t="s">
        <v>1485</v>
      </c>
      <c r="G425" s="4" t="s">
        <v>119</v>
      </c>
      <c r="H425" s="4" t="s">
        <v>1486</v>
      </c>
      <c r="I425" s="4" t="s">
        <v>191</v>
      </c>
      <c r="J425" s="4" t="s">
        <v>1547</v>
      </c>
      <c r="K425" s="4" t="s">
        <v>51</v>
      </c>
      <c r="L425" s="4" t="s">
        <v>37</v>
      </c>
      <c r="M425" s="4" t="s">
        <v>37</v>
      </c>
      <c r="N425" s="4" t="n">
        <v>3</v>
      </c>
      <c r="O425" s="4"/>
    </row>
    <row r="426" customFormat="false" ht="23.85" hidden="false" customHeight="false" outlineLevel="0" collapsed="false">
      <c r="A426" s="4" t="n">
        <v>33</v>
      </c>
      <c r="B426" s="4" t="s">
        <v>1528</v>
      </c>
      <c r="C426" s="4" t="s">
        <v>1529</v>
      </c>
      <c r="D426" s="4" t="s">
        <v>1530</v>
      </c>
      <c r="E426" s="4" t="s">
        <v>1500</v>
      </c>
      <c r="F426" s="4" t="s">
        <v>1501</v>
      </c>
      <c r="G426" s="4" t="s">
        <v>119</v>
      </c>
      <c r="H426" s="4" t="s">
        <v>1502</v>
      </c>
      <c r="I426" s="4" t="s">
        <v>191</v>
      </c>
      <c r="J426" s="4" t="s">
        <v>1551</v>
      </c>
      <c r="K426" s="4" t="s">
        <v>51</v>
      </c>
      <c r="L426" s="4" t="s">
        <v>37</v>
      </c>
      <c r="M426" s="4" t="s">
        <v>37</v>
      </c>
      <c r="N426" s="4" t="n">
        <v>3</v>
      </c>
      <c r="O426" s="4"/>
    </row>
    <row r="427" customFormat="false" ht="23.85" hidden="false" customHeight="false" outlineLevel="0" collapsed="false">
      <c r="A427" s="4" t="n">
        <v>33</v>
      </c>
      <c r="B427" s="4" t="s">
        <v>1528</v>
      </c>
      <c r="C427" s="4" t="s">
        <v>1529</v>
      </c>
      <c r="D427" s="4" t="s">
        <v>1530</v>
      </c>
      <c r="E427" s="4" t="s">
        <v>1473</v>
      </c>
      <c r="F427" s="4" t="s">
        <v>1474</v>
      </c>
      <c r="G427" s="4" t="s">
        <v>55</v>
      </c>
      <c r="H427" s="4" t="s">
        <v>1475</v>
      </c>
      <c r="I427" s="4" t="s">
        <v>191</v>
      </c>
      <c r="J427" s="4" t="s">
        <v>1552</v>
      </c>
      <c r="K427" s="4" t="s">
        <v>102</v>
      </c>
      <c r="L427" s="4" t="s">
        <v>37</v>
      </c>
      <c r="M427" s="4" t="s">
        <v>37</v>
      </c>
      <c r="N427" s="4" t="n">
        <v>3</v>
      </c>
      <c r="O427" s="4"/>
    </row>
    <row r="428" customFormat="false" ht="15" hidden="false" customHeight="false" outlineLevel="0" collapsed="false">
      <c r="A428" s="4" t="n">
        <v>34</v>
      </c>
      <c r="B428" s="4" t="s">
        <v>1553</v>
      </c>
      <c r="C428" s="4" t="s">
        <v>1554</v>
      </c>
      <c r="D428" s="4" t="s">
        <v>1555</v>
      </c>
      <c r="E428" s="4" t="s">
        <v>1556</v>
      </c>
      <c r="F428" s="4" t="s">
        <v>1557</v>
      </c>
      <c r="G428" s="4" t="s">
        <v>55</v>
      </c>
      <c r="H428" s="4" t="s">
        <v>1558</v>
      </c>
      <c r="I428" s="4" t="s">
        <v>93</v>
      </c>
      <c r="J428" s="4" t="s">
        <v>1559</v>
      </c>
      <c r="K428" s="4" t="s">
        <v>51</v>
      </c>
      <c r="L428" s="4" t="s">
        <v>36</v>
      </c>
      <c r="M428" s="4" t="s">
        <v>37</v>
      </c>
      <c r="N428" s="4" t="n">
        <v>1</v>
      </c>
      <c r="O428" s="4" t="s">
        <v>1560</v>
      </c>
    </row>
    <row r="429" customFormat="false" ht="15" hidden="false" customHeight="false" outlineLevel="0" collapsed="false">
      <c r="A429" s="4" t="n">
        <v>34</v>
      </c>
      <c r="B429" s="4" t="s">
        <v>1553</v>
      </c>
      <c r="C429" s="4" t="s">
        <v>1554</v>
      </c>
      <c r="D429" s="4" t="s">
        <v>1555</v>
      </c>
      <c r="E429" s="4" t="s">
        <v>1561</v>
      </c>
      <c r="F429" s="4" t="s">
        <v>1562</v>
      </c>
      <c r="G429" s="4" t="s">
        <v>55</v>
      </c>
      <c r="H429" s="4" t="s">
        <v>468</v>
      </c>
      <c r="I429" s="4" t="s">
        <v>93</v>
      </c>
      <c r="J429" s="4" t="s">
        <v>1563</v>
      </c>
      <c r="K429" s="4" t="s">
        <v>51</v>
      </c>
      <c r="L429" s="4" t="s">
        <v>36</v>
      </c>
      <c r="M429" s="4" t="s">
        <v>37</v>
      </c>
      <c r="N429" s="4" t="n">
        <v>1</v>
      </c>
      <c r="O429" s="4" t="s">
        <v>1564</v>
      </c>
    </row>
    <row r="430" customFormat="false" ht="15" hidden="false" customHeight="false" outlineLevel="0" collapsed="false">
      <c r="A430" s="4" t="n">
        <v>34</v>
      </c>
      <c r="B430" s="4" t="s">
        <v>1553</v>
      </c>
      <c r="C430" s="4" t="s">
        <v>1554</v>
      </c>
      <c r="D430" s="4" t="s">
        <v>1555</v>
      </c>
      <c r="E430" s="4" t="s">
        <v>1565</v>
      </c>
      <c r="F430" s="4" t="s">
        <v>1566</v>
      </c>
      <c r="G430" s="4" t="s">
        <v>119</v>
      </c>
      <c r="H430" s="4" t="s">
        <v>1567</v>
      </c>
      <c r="I430" s="4" t="s">
        <v>93</v>
      </c>
      <c r="J430" s="4" t="s">
        <v>1568</v>
      </c>
      <c r="K430" s="4" t="s">
        <v>102</v>
      </c>
      <c r="L430" s="4" t="s">
        <v>36</v>
      </c>
      <c r="M430" s="4" t="s">
        <v>37</v>
      </c>
      <c r="N430" s="4" t="n">
        <v>1</v>
      </c>
      <c r="O430" s="4" t="s">
        <v>1569</v>
      </c>
    </row>
    <row r="431" customFormat="false" ht="15" hidden="false" customHeight="false" outlineLevel="0" collapsed="false">
      <c r="A431" s="4" t="n">
        <v>34</v>
      </c>
      <c r="B431" s="4" t="s">
        <v>1553</v>
      </c>
      <c r="C431" s="4" t="s">
        <v>1554</v>
      </c>
      <c r="D431" s="4" t="s">
        <v>1555</v>
      </c>
      <c r="E431" s="4" t="s">
        <v>1570</v>
      </c>
      <c r="F431" s="4" t="s">
        <v>1571</v>
      </c>
      <c r="G431" s="4" t="s">
        <v>55</v>
      </c>
      <c r="H431" s="4" t="s">
        <v>41</v>
      </c>
      <c r="I431" s="4" t="s">
        <v>93</v>
      </c>
      <c r="J431" s="4" t="s">
        <v>1572</v>
      </c>
      <c r="K431" s="4" t="s">
        <v>1573</v>
      </c>
      <c r="L431" s="4" t="s">
        <v>36</v>
      </c>
      <c r="M431" s="4" t="s">
        <v>37</v>
      </c>
      <c r="N431" s="4" t="n">
        <v>1</v>
      </c>
      <c r="O431" s="4"/>
    </row>
    <row r="432" customFormat="false" ht="23.85" hidden="false" customHeight="false" outlineLevel="0" collapsed="false">
      <c r="A432" s="4" t="n">
        <v>34</v>
      </c>
      <c r="B432" s="4" t="s">
        <v>1553</v>
      </c>
      <c r="C432" s="4" t="s">
        <v>1554</v>
      </c>
      <c r="D432" s="4" t="s">
        <v>1555</v>
      </c>
      <c r="E432" s="4" t="s">
        <v>1574</v>
      </c>
      <c r="F432" s="4" t="s">
        <v>1575</v>
      </c>
      <c r="G432" s="4" t="s">
        <v>114</v>
      </c>
      <c r="H432" s="4" t="s">
        <v>1576</v>
      </c>
      <c r="I432" s="4" t="s">
        <v>93</v>
      </c>
      <c r="J432" s="4" t="s">
        <v>1577</v>
      </c>
      <c r="K432" s="4" t="s">
        <v>326</v>
      </c>
      <c r="L432" s="4" t="s">
        <v>36</v>
      </c>
      <c r="M432" s="4" t="s">
        <v>37</v>
      </c>
      <c r="N432" s="4" t="n">
        <v>2</v>
      </c>
      <c r="O432" s="4" t="s">
        <v>1578</v>
      </c>
    </row>
    <row r="433" customFormat="false" ht="23.85" hidden="false" customHeight="false" outlineLevel="0" collapsed="false">
      <c r="A433" s="4" t="n">
        <v>34</v>
      </c>
      <c r="B433" s="4" t="s">
        <v>1553</v>
      </c>
      <c r="C433" s="4" t="s">
        <v>1554</v>
      </c>
      <c r="D433" s="4" t="s">
        <v>1555</v>
      </c>
      <c r="E433" s="4" t="s">
        <v>1579</v>
      </c>
      <c r="F433" s="4" t="s">
        <v>1580</v>
      </c>
      <c r="G433" s="4" t="s">
        <v>55</v>
      </c>
      <c r="H433" s="4" t="s">
        <v>1581</v>
      </c>
      <c r="I433" s="4" t="s">
        <v>93</v>
      </c>
      <c r="J433" s="4" t="s">
        <v>1582</v>
      </c>
      <c r="K433" s="4" t="s">
        <v>102</v>
      </c>
      <c r="L433" s="4" t="s">
        <v>36</v>
      </c>
      <c r="M433" s="4" t="s">
        <v>37</v>
      </c>
      <c r="N433" s="4" t="n">
        <v>1</v>
      </c>
      <c r="O433" s="4" t="s">
        <v>1583</v>
      </c>
    </row>
    <row r="434" customFormat="false" ht="15" hidden="false" customHeight="false" outlineLevel="0" collapsed="false">
      <c r="A434" s="4" t="n">
        <v>34</v>
      </c>
      <c r="B434" s="4" t="s">
        <v>1553</v>
      </c>
      <c r="C434" s="4" t="s">
        <v>1554</v>
      </c>
      <c r="D434" s="4" t="s">
        <v>1555</v>
      </c>
      <c r="E434" s="4" t="s">
        <v>1584</v>
      </c>
      <c r="F434" s="4" t="s">
        <v>1585</v>
      </c>
      <c r="G434" s="4" t="s">
        <v>55</v>
      </c>
      <c r="H434" s="4" t="s">
        <v>1586</v>
      </c>
      <c r="I434" s="4" t="s">
        <v>149</v>
      </c>
      <c r="J434" s="4" t="s">
        <v>1587</v>
      </c>
      <c r="K434" s="4" t="s">
        <v>102</v>
      </c>
      <c r="L434" s="4" t="s">
        <v>36</v>
      </c>
      <c r="M434" s="4" t="s">
        <v>37</v>
      </c>
      <c r="N434" s="4" t="n">
        <v>1</v>
      </c>
      <c r="O434" s="4" t="s">
        <v>1588</v>
      </c>
    </row>
    <row r="435" customFormat="false" ht="23.85" hidden="false" customHeight="false" outlineLevel="0" collapsed="false">
      <c r="A435" s="4" t="n">
        <v>34</v>
      </c>
      <c r="B435" s="4" t="s">
        <v>1553</v>
      </c>
      <c r="C435" s="4" t="s">
        <v>1554</v>
      </c>
      <c r="D435" s="4" t="s">
        <v>1555</v>
      </c>
      <c r="E435" s="4" t="s">
        <v>1205</v>
      </c>
      <c r="F435" s="4" t="s">
        <v>1206</v>
      </c>
      <c r="G435" s="4" t="s">
        <v>55</v>
      </c>
      <c r="H435" s="4" t="s">
        <v>153</v>
      </c>
      <c r="I435" s="4" t="s">
        <v>191</v>
      </c>
      <c r="J435" s="4" t="s">
        <v>1589</v>
      </c>
      <c r="K435" s="4" t="s">
        <v>51</v>
      </c>
      <c r="L435" s="4" t="s">
        <v>37</v>
      </c>
      <c r="M435" s="4" t="s">
        <v>37</v>
      </c>
      <c r="N435" s="4" t="n">
        <v>2</v>
      </c>
      <c r="O435" s="4"/>
    </row>
    <row r="436" customFormat="false" ht="23.85" hidden="false" customHeight="false" outlineLevel="0" collapsed="false">
      <c r="A436" s="4" t="n">
        <v>34</v>
      </c>
      <c r="B436" s="4" t="s">
        <v>1553</v>
      </c>
      <c r="C436" s="4" t="s">
        <v>1554</v>
      </c>
      <c r="D436" s="4" t="s">
        <v>1555</v>
      </c>
      <c r="E436" s="4" t="s">
        <v>1056</v>
      </c>
      <c r="F436" s="4" t="s">
        <v>1057</v>
      </c>
      <c r="G436" s="4" t="s">
        <v>55</v>
      </c>
      <c r="H436" s="4" t="s">
        <v>468</v>
      </c>
      <c r="I436" s="4" t="s">
        <v>191</v>
      </c>
      <c r="J436" s="4" t="s">
        <v>1590</v>
      </c>
      <c r="K436" s="4" t="s">
        <v>51</v>
      </c>
      <c r="L436" s="4" t="s">
        <v>37</v>
      </c>
      <c r="M436" s="4" t="s">
        <v>37</v>
      </c>
      <c r="N436" s="4" t="n">
        <v>2</v>
      </c>
      <c r="O436" s="4"/>
    </row>
    <row r="437" customFormat="false" ht="23.85" hidden="false" customHeight="false" outlineLevel="0" collapsed="false">
      <c r="A437" s="4" t="n">
        <v>34</v>
      </c>
      <c r="B437" s="4" t="s">
        <v>1553</v>
      </c>
      <c r="C437" s="4" t="s">
        <v>1554</v>
      </c>
      <c r="D437" s="4" t="s">
        <v>1555</v>
      </c>
      <c r="E437" s="4" t="s">
        <v>1086</v>
      </c>
      <c r="F437" s="4" t="s">
        <v>1087</v>
      </c>
      <c r="G437" s="4" t="s">
        <v>119</v>
      </c>
      <c r="H437" s="4" t="s">
        <v>41</v>
      </c>
      <c r="I437" s="4" t="s">
        <v>191</v>
      </c>
      <c r="J437" s="4" t="s">
        <v>1591</v>
      </c>
      <c r="K437" s="4" t="s">
        <v>51</v>
      </c>
      <c r="L437" s="4" t="s">
        <v>37</v>
      </c>
      <c r="M437" s="4" t="s">
        <v>37</v>
      </c>
      <c r="N437" s="4" t="n">
        <v>2</v>
      </c>
      <c r="O437" s="4"/>
    </row>
    <row r="438" customFormat="false" ht="23.85" hidden="false" customHeight="false" outlineLevel="0" collapsed="false">
      <c r="A438" s="4" t="n">
        <v>34</v>
      </c>
      <c r="B438" s="4" t="s">
        <v>1553</v>
      </c>
      <c r="C438" s="4" t="s">
        <v>1554</v>
      </c>
      <c r="D438" s="4" t="s">
        <v>1555</v>
      </c>
      <c r="E438" s="4" t="s">
        <v>1260</v>
      </c>
      <c r="F438" s="4" t="s">
        <v>1261</v>
      </c>
      <c r="G438" s="4" t="s">
        <v>55</v>
      </c>
      <c r="H438" s="4" t="s">
        <v>1262</v>
      </c>
      <c r="I438" s="4" t="s">
        <v>191</v>
      </c>
      <c r="J438" s="4" t="s">
        <v>1582</v>
      </c>
      <c r="K438" s="4" t="s">
        <v>51</v>
      </c>
      <c r="L438" s="4" t="s">
        <v>37</v>
      </c>
      <c r="M438" s="4" t="s">
        <v>37</v>
      </c>
      <c r="N438" s="4" t="n">
        <v>2</v>
      </c>
      <c r="O438" s="4"/>
    </row>
    <row r="439" customFormat="false" ht="23.85" hidden="false" customHeight="false" outlineLevel="0" collapsed="false">
      <c r="A439" s="4" t="n">
        <v>34</v>
      </c>
      <c r="B439" s="4" t="s">
        <v>1553</v>
      </c>
      <c r="C439" s="4" t="s">
        <v>1554</v>
      </c>
      <c r="D439" s="4" t="s">
        <v>1555</v>
      </c>
      <c r="E439" s="4" t="s">
        <v>1053</v>
      </c>
      <c r="F439" s="4" t="s">
        <v>1054</v>
      </c>
      <c r="G439" s="4" t="s">
        <v>119</v>
      </c>
      <c r="H439" s="4" t="s">
        <v>41</v>
      </c>
      <c r="I439" s="4" t="s">
        <v>191</v>
      </c>
      <c r="J439" s="4" t="s">
        <v>1592</v>
      </c>
      <c r="K439" s="4" t="s">
        <v>51</v>
      </c>
      <c r="L439" s="4" t="s">
        <v>37</v>
      </c>
      <c r="M439" s="4" t="s">
        <v>37</v>
      </c>
      <c r="N439" s="4" t="n">
        <v>2</v>
      </c>
      <c r="O439" s="4"/>
    </row>
    <row r="440" customFormat="false" ht="35.05" hidden="false" customHeight="false" outlineLevel="0" collapsed="false">
      <c r="A440" s="4" t="n">
        <v>34</v>
      </c>
      <c r="B440" s="4" t="s">
        <v>1553</v>
      </c>
      <c r="C440" s="4" t="s">
        <v>1554</v>
      </c>
      <c r="D440" s="4" t="s">
        <v>1555</v>
      </c>
      <c r="E440" s="4" t="s">
        <v>932</v>
      </c>
      <c r="F440" s="4" t="s">
        <v>933</v>
      </c>
      <c r="G440" s="4" t="s">
        <v>55</v>
      </c>
      <c r="H440" s="4" t="s">
        <v>934</v>
      </c>
      <c r="I440" s="4" t="s">
        <v>191</v>
      </c>
      <c r="J440" s="4" t="s">
        <v>1593</v>
      </c>
      <c r="K440" s="4" t="s">
        <v>1594</v>
      </c>
      <c r="L440" s="4" t="s">
        <v>37</v>
      </c>
      <c r="M440" s="4" t="s">
        <v>37</v>
      </c>
      <c r="N440" s="4" t="n">
        <v>3</v>
      </c>
      <c r="O440" s="4"/>
    </row>
    <row r="441" customFormat="false" ht="23.85" hidden="false" customHeight="false" outlineLevel="0" collapsed="false">
      <c r="A441" s="4" t="n">
        <v>34</v>
      </c>
      <c r="B441" s="4" t="s">
        <v>1553</v>
      </c>
      <c r="C441" s="4" t="s">
        <v>1554</v>
      </c>
      <c r="D441" s="4" t="s">
        <v>1555</v>
      </c>
      <c r="E441" s="4" t="s">
        <v>942</v>
      </c>
      <c r="F441" s="4" t="s">
        <v>943</v>
      </c>
      <c r="G441" s="4" t="s">
        <v>119</v>
      </c>
      <c r="H441" s="4" t="s">
        <v>944</v>
      </c>
      <c r="I441" s="4" t="s">
        <v>191</v>
      </c>
      <c r="J441" s="4" t="s">
        <v>1593</v>
      </c>
      <c r="K441" s="4" t="s">
        <v>102</v>
      </c>
      <c r="L441" s="4" t="s">
        <v>37</v>
      </c>
      <c r="M441" s="4" t="s">
        <v>37</v>
      </c>
      <c r="N441" s="4" t="n">
        <v>2</v>
      </c>
      <c r="O441" s="4"/>
    </row>
    <row r="442" customFormat="false" ht="15" hidden="false" customHeight="false" outlineLevel="0" collapsed="false">
      <c r="A442" s="4" t="n">
        <v>34</v>
      </c>
      <c r="B442" s="4" t="s">
        <v>1553</v>
      </c>
      <c r="C442" s="4" t="s">
        <v>1554</v>
      </c>
      <c r="D442" s="4" t="s">
        <v>1555</v>
      </c>
      <c r="E442" s="4" t="s">
        <v>1595</v>
      </c>
      <c r="F442" s="4" t="s">
        <v>1596</v>
      </c>
      <c r="G442" s="4" t="s">
        <v>1597</v>
      </c>
      <c r="H442" s="4" t="s">
        <v>1598</v>
      </c>
      <c r="I442" s="4" t="s">
        <v>120</v>
      </c>
      <c r="J442" s="4" t="s">
        <v>1599</v>
      </c>
      <c r="K442" s="4" t="s">
        <v>102</v>
      </c>
      <c r="L442" s="4" t="s">
        <v>36</v>
      </c>
      <c r="M442" s="4" t="s">
        <v>37</v>
      </c>
      <c r="N442" s="4" t="n">
        <v>1</v>
      </c>
      <c r="O442" s="4" t="s">
        <v>1600</v>
      </c>
    </row>
    <row r="443" customFormat="false" ht="15" hidden="false" customHeight="false" outlineLevel="0" collapsed="false">
      <c r="A443" s="4" t="n">
        <v>35</v>
      </c>
      <c r="B443" s="4" t="s">
        <v>1601</v>
      </c>
      <c r="C443" s="4" t="s">
        <v>1602</v>
      </c>
      <c r="D443" s="4" t="s">
        <v>1603</v>
      </c>
      <c r="E443" s="4" t="s">
        <v>1604</v>
      </c>
      <c r="F443" s="4" t="s">
        <v>1605</v>
      </c>
      <c r="G443" s="4" t="s">
        <v>1597</v>
      </c>
      <c r="H443" s="4" t="s">
        <v>1606</v>
      </c>
      <c r="I443" s="4" t="s">
        <v>184</v>
      </c>
      <c r="J443" s="4" t="s">
        <v>1607</v>
      </c>
      <c r="K443" s="4" t="s">
        <v>102</v>
      </c>
      <c r="L443" s="4" t="s">
        <v>36</v>
      </c>
      <c r="M443" s="4" t="s">
        <v>37</v>
      </c>
      <c r="N443" s="4" t="n">
        <v>1</v>
      </c>
      <c r="O443" s="4" t="s">
        <v>1608</v>
      </c>
    </row>
    <row r="444" customFormat="false" ht="15" hidden="false" customHeight="false" outlineLevel="0" collapsed="false">
      <c r="A444" s="4" t="n">
        <v>35</v>
      </c>
      <c r="B444" s="4" t="s">
        <v>1601</v>
      </c>
      <c r="C444" s="4" t="s">
        <v>1602</v>
      </c>
      <c r="D444" s="4" t="s">
        <v>1603</v>
      </c>
      <c r="E444" s="4" t="s">
        <v>1609</v>
      </c>
      <c r="F444" s="4" t="s">
        <v>1610</v>
      </c>
      <c r="G444" s="4" t="s">
        <v>119</v>
      </c>
      <c r="H444" s="4" t="s">
        <v>1611</v>
      </c>
      <c r="I444" s="4" t="s">
        <v>184</v>
      </c>
      <c r="J444" s="4" t="s">
        <v>1612</v>
      </c>
      <c r="K444" s="4" t="s">
        <v>102</v>
      </c>
      <c r="L444" s="4" t="s">
        <v>36</v>
      </c>
      <c r="M444" s="4" t="s">
        <v>37</v>
      </c>
      <c r="N444" s="4" t="n">
        <v>1</v>
      </c>
      <c r="O444" s="4" t="s">
        <v>1613</v>
      </c>
    </row>
    <row r="445" customFormat="false" ht="23.85" hidden="false" customHeight="false" outlineLevel="0" collapsed="false">
      <c r="A445" s="4" t="n">
        <v>35</v>
      </c>
      <c r="B445" s="4" t="s">
        <v>1601</v>
      </c>
      <c r="C445" s="4" t="s">
        <v>1602</v>
      </c>
      <c r="D445" s="4" t="s">
        <v>1603</v>
      </c>
      <c r="E445" s="4" t="s">
        <v>1473</v>
      </c>
      <c r="F445" s="4" t="s">
        <v>1474</v>
      </c>
      <c r="G445" s="4" t="s">
        <v>55</v>
      </c>
      <c r="H445" s="4" t="s">
        <v>1475</v>
      </c>
      <c r="I445" s="4" t="s">
        <v>191</v>
      </c>
      <c r="J445" s="4" t="s">
        <v>1614</v>
      </c>
      <c r="K445" s="4" t="s">
        <v>102</v>
      </c>
      <c r="L445" s="4" t="s">
        <v>37</v>
      </c>
      <c r="M445" s="4" t="s">
        <v>37</v>
      </c>
      <c r="N445" s="4" t="n">
        <v>3</v>
      </c>
      <c r="O445" s="4"/>
    </row>
    <row r="446" customFormat="false" ht="23.85" hidden="false" customHeight="false" outlineLevel="0" collapsed="false">
      <c r="A446" s="4" t="n">
        <v>35</v>
      </c>
      <c r="B446" s="4" t="s">
        <v>1601</v>
      </c>
      <c r="C446" s="4" t="s">
        <v>1602</v>
      </c>
      <c r="D446" s="4" t="s">
        <v>1603</v>
      </c>
      <c r="E446" s="4" t="s">
        <v>1477</v>
      </c>
      <c r="F446" s="4" t="s">
        <v>1478</v>
      </c>
      <c r="G446" s="4" t="s">
        <v>55</v>
      </c>
      <c r="H446" s="4" t="s">
        <v>1479</v>
      </c>
      <c r="I446" s="4" t="s">
        <v>191</v>
      </c>
      <c r="J446" s="4" t="s">
        <v>1615</v>
      </c>
      <c r="K446" s="4" t="s">
        <v>102</v>
      </c>
      <c r="L446" s="4" t="s">
        <v>37</v>
      </c>
      <c r="M446" s="4" t="s">
        <v>37</v>
      </c>
      <c r="N446" s="4" t="n">
        <v>2</v>
      </c>
      <c r="O446" s="4"/>
    </row>
    <row r="447" customFormat="false" ht="23.85" hidden="false" customHeight="false" outlineLevel="0" collapsed="false">
      <c r="A447" s="4" t="n">
        <v>35</v>
      </c>
      <c r="B447" s="4" t="s">
        <v>1601</v>
      </c>
      <c r="C447" s="4" t="s">
        <v>1602</v>
      </c>
      <c r="D447" s="4" t="s">
        <v>1603</v>
      </c>
      <c r="E447" s="4" t="s">
        <v>1505</v>
      </c>
      <c r="F447" s="4" t="s">
        <v>1506</v>
      </c>
      <c r="G447" s="4" t="s">
        <v>119</v>
      </c>
      <c r="H447" s="4" t="s">
        <v>1507</v>
      </c>
      <c r="I447" s="4" t="s">
        <v>191</v>
      </c>
      <c r="J447" s="4" t="s">
        <v>1616</v>
      </c>
      <c r="K447" s="4" t="s">
        <v>51</v>
      </c>
      <c r="L447" s="4" t="s">
        <v>37</v>
      </c>
      <c r="M447" s="4" t="s">
        <v>37</v>
      </c>
      <c r="N447" s="4" t="n">
        <v>3</v>
      </c>
      <c r="O447" s="4"/>
    </row>
    <row r="448" customFormat="false" ht="23.85" hidden="false" customHeight="false" outlineLevel="0" collapsed="false">
      <c r="A448" s="4" t="n">
        <v>35</v>
      </c>
      <c r="B448" s="4" t="s">
        <v>1601</v>
      </c>
      <c r="C448" s="4" t="s">
        <v>1602</v>
      </c>
      <c r="D448" s="4" t="s">
        <v>1603</v>
      </c>
      <c r="E448" s="4" t="s">
        <v>1544</v>
      </c>
      <c r="F448" s="4" t="s">
        <v>1545</v>
      </c>
      <c r="G448" s="4" t="s">
        <v>114</v>
      </c>
      <c r="H448" s="4" t="s">
        <v>1546</v>
      </c>
      <c r="I448" s="4" t="s">
        <v>191</v>
      </c>
      <c r="J448" s="4" t="s">
        <v>1617</v>
      </c>
      <c r="K448" s="4" t="s">
        <v>51</v>
      </c>
      <c r="L448" s="4" t="s">
        <v>37</v>
      </c>
      <c r="M448" s="4" t="s">
        <v>37</v>
      </c>
      <c r="N448" s="4" t="n">
        <v>2</v>
      </c>
      <c r="O448" s="4"/>
    </row>
    <row r="449" customFormat="false" ht="23.85" hidden="false" customHeight="false" outlineLevel="0" collapsed="false">
      <c r="A449" s="4" t="n">
        <v>35</v>
      </c>
      <c r="B449" s="4" t="s">
        <v>1601</v>
      </c>
      <c r="C449" s="4" t="s">
        <v>1602</v>
      </c>
      <c r="D449" s="4" t="s">
        <v>1603</v>
      </c>
      <c r="E449" s="4" t="s">
        <v>1484</v>
      </c>
      <c r="F449" s="4" t="s">
        <v>1485</v>
      </c>
      <c r="G449" s="4" t="s">
        <v>119</v>
      </c>
      <c r="H449" s="4" t="s">
        <v>1486</v>
      </c>
      <c r="I449" s="4" t="s">
        <v>191</v>
      </c>
      <c r="J449" s="4" t="s">
        <v>1618</v>
      </c>
      <c r="K449" s="4" t="s">
        <v>51</v>
      </c>
      <c r="L449" s="4" t="s">
        <v>37</v>
      </c>
      <c r="M449" s="4" t="s">
        <v>37</v>
      </c>
      <c r="N449" s="4" t="n">
        <v>3</v>
      </c>
      <c r="O449" s="4"/>
    </row>
    <row r="450" customFormat="false" ht="23.85" hidden="false" customHeight="false" outlineLevel="0" collapsed="false">
      <c r="A450" s="4" t="n">
        <v>35</v>
      </c>
      <c r="B450" s="4" t="s">
        <v>1601</v>
      </c>
      <c r="C450" s="4" t="s">
        <v>1602</v>
      </c>
      <c r="D450" s="4" t="s">
        <v>1603</v>
      </c>
      <c r="E450" s="4" t="s">
        <v>1496</v>
      </c>
      <c r="F450" s="4" t="s">
        <v>1497</v>
      </c>
      <c r="G450" s="4" t="s">
        <v>55</v>
      </c>
      <c r="H450" s="4" t="s">
        <v>1498</v>
      </c>
      <c r="I450" s="4" t="s">
        <v>191</v>
      </c>
      <c r="J450" s="4" t="s">
        <v>1607</v>
      </c>
      <c r="K450" s="4" t="s">
        <v>51</v>
      </c>
      <c r="L450" s="4" t="s">
        <v>37</v>
      </c>
      <c r="M450" s="4" t="s">
        <v>37</v>
      </c>
      <c r="N450" s="4" t="n">
        <v>3</v>
      </c>
      <c r="O450" s="4"/>
    </row>
    <row r="451" customFormat="false" ht="23.85" hidden="false" customHeight="false" outlineLevel="0" collapsed="false">
      <c r="A451" s="4" t="n">
        <v>36</v>
      </c>
      <c r="B451" s="4" t="s">
        <v>1601</v>
      </c>
      <c r="C451" s="4" t="s">
        <v>1619</v>
      </c>
      <c r="D451" s="4" t="s">
        <v>1620</v>
      </c>
      <c r="E451" s="4" t="s">
        <v>1621</v>
      </c>
      <c r="F451" s="4" t="s">
        <v>1622</v>
      </c>
      <c r="G451" s="4" t="s">
        <v>1623</v>
      </c>
      <c r="H451" s="4" t="s">
        <v>1624</v>
      </c>
      <c r="I451" s="4" t="s">
        <v>184</v>
      </c>
      <c r="J451" s="4" t="s">
        <v>1625</v>
      </c>
      <c r="K451" s="4" t="s">
        <v>102</v>
      </c>
      <c r="L451" s="4" t="s">
        <v>36</v>
      </c>
      <c r="M451" s="4" t="s">
        <v>37</v>
      </c>
      <c r="N451" s="4" t="n">
        <v>1</v>
      </c>
      <c r="O451" s="4" t="s">
        <v>1626</v>
      </c>
    </row>
    <row r="452" customFormat="false" ht="23.85" hidden="false" customHeight="false" outlineLevel="0" collapsed="false">
      <c r="A452" s="4" t="n">
        <v>36</v>
      </c>
      <c r="B452" s="4" t="s">
        <v>1601</v>
      </c>
      <c r="C452" s="4" t="s">
        <v>1619</v>
      </c>
      <c r="D452" s="4" t="s">
        <v>1620</v>
      </c>
      <c r="E452" s="4" t="s">
        <v>1627</v>
      </c>
      <c r="F452" s="4" t="s">
        <v>1628</v>
      </c>
      <c r="G452" s="4" t="s">
        <v>55</v>
      </c>
      <c r="H452" s="4" t="s">
        <v>1629</v>
      </c>
      <c r="I452" s="4" t="s">
        <v>184</v>
      </c>
      <c r="J452" s="4" t="s">
        <v>1630</v>
      </c>
      <c r="K452" s="4" t="s">
        <v>51</v>
      </c>
      <c r="L452" s="4" t="s">
        <v>36</v>
      </c>
      <c r="M452" s="4" t="s">
        <v>37</v>
      </c>
      <c r="N452" s="4" t="n">
        <v>1</v>
      </c>
      <c r="O452" s="4" t="s">
        <v>1631</v>
      </c>
    </row>
    <row r="453" customFormat="false" ht="23.85" hidden="false" customHeight="false" outlineLevel="0" collapsed="false">
      <c r="A453" s="4" t="n">
        <v>36</v>
      </c>
      <c r="B453" s="4" t="s">
        <v>1601</v>
      </c>
      <c r="C453" s="4" t="s">
        <v>1619</v>
      </c>
      <c r="D453" s="4" t="s">
        <v>1620</v>
      </c>
      <c r="E453" s="4" t="s">
        <v>1531</v>
      </c>
      <c r="F453" s="4" t="s">
        <v>1532</v>
      </c>
      <c r="G453" s="4" t="s">
        <v>55</v>
      </c>
      <c r="H453" s="4" t="s">
        <v>1533</v>
      </c>
      <c r="I453" s="4" t="s">
        <v>191</v>
      </c>
      <c r="J453" s="4" t="s">
        <v>1632</v>
      </c>
      <c r="K453" s="4" t="s">
        <v>51</v>
      </c>
      <c r="L453" s="4" t="s">
        <v>37</v>
      </c>
      <c r="M453" s="4" t="s">
        <v>37</v>
      </c>
      <c r="N453" s="4" t="n">
        <v>2</v>
      </c>
      <c r="O453" s="4"/>
    </row>
    <row r="454" customFormat="false" ht="23.85" hidden="false" customHeight="false" outlineLevel="0" collapsed="false">
      <c r="A454" s="4" t="n">
        <v>36</v>
      </c>
      <c r="B454" s="4" t="s">
        <v>1601</v>
      </c>
      <c r="C454" s="4" t="s">
        <v>1619</v>
      </c>
      <c r="D454" s="4" t="s">
        <v>1620</v>
      </c>
      <c r="E454" s="4" t="s">
        <v>1490</v>
      </c>
      <c r="F454" s="4" t="s">
        <v>1491</v>
      </c>
      <c r="G454" s="4" t="s">
        <v>119</v>
      </c>
      <c r="H454" s="4" t="s">
        <v>1492</v>
      </c>
      <c r="I454" s="4" t="s">
        <v>191</v>
      </c>
      <c r="J454" s="4" t="s">
        <v>1633</v>
      </c>
      <c r="K454" s="4" t="s">
        <v>51</v>
      </c>
      <c r="L454" s="4" t="s">
        <v>37</v>
      </c>
      <c r="M454" s="4" t="s">
        <v>37</v>
      </c>
      <c r="N454" s="4" t="n">
        <v>3</v>
      </c>
      <c r="O454" s="4"/>
    </row>
    <row r="455" customFormat="false" ht="23.85" hidden="false" customHeight="false" outlineLevel="0" collapsed="false">
      <c r="A455" s="4" t="n">
        <v>36</v>
      </c>
      <c r="B455" s="4" t="s">
        <v>1601</v>
      </c>
      <c r="C455" s="4" t="s">
        <v>1619</v>
      </c>
      <c r="D455" s="4" t="s">
        <v>1620</v>
      </c>
      <c r="E455" s="4" t="s">
        <v>1500</v>
      </c>
      <c r="F455" s="4" t="s">
        <v>1501</v>
      </c>
      <c r="G455" s="4" t="s">
        <v>119</v>
      </c>
      <c r="H455" s="4" t="s">
        <v>1502</v>
      </c>
      <c r="I455" s="4" t="s">
        <v>191</v>
      </c>
      <c r="J455" s="4" t="s">
        <v>1634</v>
      </c>
      <c r="K455" s="4" t="s">
        <v>51</v>
      </c>
      <c r="L455" s="4" t="s">
        <v>37</v>
      </c>
      <c r="M455" s="4" t="s">
        <v>37</v>
      </c>
      <c r="N455" s="4" t="n">
        <v>3</v>
      </c>
      <c r="O455" s="4"/>
    </row>
    <row r="456" customFormat="false" ht="23.85" hidden="false" customHeight="false" outlineLevel="0" collapsed="false">
      <c r="A456" s="4" t="n">
        <v>36</v>
      </c>
      <c r="B456" s="4" t="s">
        <v>1601</v>
      </c>
      <c r="C456" s="4" t="s">
        <v>1619</v>
      </c>
      <c r="D456" s="4" t="s">
        <v>1620</v>
      </c>
      <c r="E456" s="4" t="s">
        <v>1536</v>
      </c>
      <c r="F456" s="4" t="s">
        <v>1537</v>
      </c>
      <c r="G456" s="4" t="s">
        <v>55</v>
      </c>
      <c r="H456" s="4" t="s">
        <v>1538</v>
      </c>
      <c r="I456" s="4" t="s">
        <v>191</v>
      </c>
      <c r="J456" s="4" t="s">
        <v>1635</v>
      </c>
      <c r="K456" s="4" t="s">
        <v>51</v>
      </c>
      <c r="L456" s="4" t="s">
        <v>37</v>
      </c>
      <c r="M456" s="4" t="s">
        <v>37</v>
      </c>
      <c r="N456" s="4" t="n">
        <v>2</v>
      </c>
      <c r="O456" s="4"/>
    </row>
    <row r="457" customFormat="false" ht="35.05" hidden="false" customHeight="false" outlineLevel="0" collapsed="false">
      <c r="A457" s="4" t="n">
        <v>36</v>
      </c>
      <c r="B457" s="4" t="s">
        <v>1601</v>
      </c>
      <c r="C457" s="4" t="s">
        <v>1619</v>
      </c>
      <c r="D457" s="4" t="s">
        <v>1620</v>
      </c>
      <c r="E457" s="4" t="s">
        <v>1505</v>
      </c>
      <c r="F457" s="4" t="s">
        <v>1506</v>
      </c>
      <c r="G457" s="4" t="s">
        <v>119</v>
      </c>
      <c r="H457" s="4" t="s">
        <v>1507</v>
      </c>
      <c r="I457" s="4" t="s">
        <v>191</v>
      </c>
      <c r="J457" s="4" t="s">
        <v>1636</v>
      </c>
      <c r="K457" s="4" t="s">
        <v>1509</v>
      </c>
      <c r="L457" s="4" t="s">
        <v>37</v>
      </c>
      <c r="M457" s="4" t="s">
        <v>37</v>
      </c>
      <c r="N457" s="4" t="n">
        <v>3</v>
      </c>
      <c r="O457" s="4"/>
    </row>
    <row r="458" customFormat="false" ht="15" hidden="false" customHeight="false" outlineLevel="0" collapsed="false">
      <c r="A458" s="4" t="n">
        <v>37</v>
      </c>
      <c r="B458" s="4" t="s">
        <v>1637</v>
      </c>
      <c r="C458" s="4" t="s">
        <v>1638</v>
      </c>
      <c r="D458" s="4" t="s">
        <v>1639</v>
      </c>
      <c r="E458" s="4" t="s">
        <v>1640</v>
      </c>
      <c r="F458" s="4" t="s">
        <v>1641</v>
      </c>
      <c r="G458" s="4" t="s">
        <v>55</v>
      </c>
      <c r="H458" s="4" t="s">
        <v>1642</v>
      </c>
      <c r="I458" s="4" t="s">
        <v>93</v>
      </c>
      <c r="J458" s="4" t="s">
        <v>1643</v>
      </c>
      <c r="K458" s="4" t="s">
        <v>102</v>
      </c>
      <c r="L458" s="4" t="s">
        <v>36</v>
      </c>
      <c r="M458" s="4" t="s">
        <v>37</v>
      </c>
      <c r="N458" s="4" t="n">
        <v>1</v>
      </c>
      <c r="O458" s="4" t="s">
        <v>1644</v>
      </c>
    </row>
    <row r="459" customFormat="false" ht="15" hidden="false" customHeight="false" outlineLevel="0" collapsed="false">
      <c r="A459" s="4" t="n">
        <v>37</v>
      </c>
      <c r="B459" s="4" t="s">
        <v>1637</v>
      </c>
      <c r="C459" s="4" t="s">
        <v>1638</v>
      </c>
      <c r="D459" s="4" t="s">
        <v>1639</v>
      </c>
      <c r="E459" s="4" t="s">
        <v>1645</v>
      </c>
      <c r="F459" s="4" t="s">
        <v>1646</v>
      </c>
      <c r="G459" s="4" t="s">
        <v>55</v>
      </c>
      <c r="H459" s="4" t="s">
        <v>1647</v>
      </c>
      <c r="I459" s="4" t="s">
        <v>93</v>
      </c>
      <c r="J459" s="4" t="s">
        <v>1648</v>
      </c>
      <c r="K459" s="4" t="s">
        <v>102</v>
      </c>
      <c r="L459" s="4" t="s">
        <v>36</v>
      </c>
      <c r="M459" s="4" t="s">
        <v>37</v>
      </c>
      <c r="N459" s="4" t="n">
        <v>1</v>
      </c>
      <c r="O459" s="4" t="s">
        <v>1649</v>
      </c>
    </row>
    <row r="460" customFormat="false" ht="15" hidden="false" customHeight="false" outlineLevel="0" collapsed="false">
      <c r="A460" s="4" t="n">
        <v>37</v>
      </c>
      <c r="B460" s="4" t="s">
        <v>1637</v>
      </c>
      <c r="C460" s="4" t="s">
        <v>1638</v>
      </c>
      <c r="D460" s="4" t="s">
        <v>1639</v>
      </c>
      <c r="E460" s="4" t="s">
        <v>1650</v>
      </c>
      <c r="F460" s="4" t="s">
        <v>1651</v>
      </c>
      <c r="G460" s="4" t="s">
        <v>119</v>
      </c>
      <c r="H460" s="4" t="s">
        <v>319</v>
      </c>
      <c r="I460" s="4" t="s">
        <v>93</v>
      </c>
      <c r="J460" s="4" t="s">
        <v>1652</v>
      </c>
      <c r="K460" s="4" t="s">
        <v>51</v>
      </c>
      <c r="L460" s="4" t="s">
        <v>36</v>
      </c>
      <c r="M460" s="4" t="s">
        <v>37</v>
      </c>
      <c r="N460" s="4" t="n">
        <v>1</v>
      </c>
      <c r="O460" s="4"/>
    </row>
    <row r="461" customFormat="false" ht="15" hidden="false" customHeight="false" outlineLevel="0" collapsed="false">
      <c r="A461" s="4" t="n">
        <v>37</v>
      </c>
      <c r="B461" s="4" t="s">
        <v>1637</v>
      </c>
      <c r="C461" s="4" t="s">
        <v>1638</v>
      </c>
      <c r="D461" s="4" t="s">
        <v>1639</v>
      </c>
      <c r="E461" s="4" t="s">
        <v>1350</v>
      </c>
      <c r="F461" s="4" t="s">
        <v>1351</v>
      </c>
      <c r="G461" s="4" t="s">
        <v>55</v>
      </c>
      <c r="H461" s="4" t="s">
        <v>1352</v>
      </c>
      <c r="I461" s="4" t="s">
        <v>149</v>
      </c>
      <c r="J461" s="4" t="s">
        <v>1653</v>
      </c>
      <c r="K461" s="4" t="s">
        <v>51</v>
      </c>
      <c r="L461" s="4" t="s">
        <v>37</v>
      </c>
      <c r="M461" s="4" t="s">
        <v>37</v>
      </c>
      <c r="N461" s="4" t="n">
        <v>3</v>
      </c>
      <c r="O461" s="4"/>
    </row>
    <row r="462" customFormat="false" ht="15" hidden="false" customHeight="false" outlineLevel="0" collapsed="false">
      <c r="A462" s="4" t="n">
        <v>37</v>
      </c>
      <c r="B462" s="4" t="s">
        <v>1637</v>
      </c>
      <c r="C462" s="4" t="s">
        <v>1638</v>
      </c>
      <c r="D462" s="4" t="s">
        <v>1639</v>
      </c>
      <c r="E462" s="4" t="s">
        <v>1355</v>
      </c>
      <c r="F462" s="4" t="s">
        <v>1356</v>
      </c>
      <c r="G462" s="4" t="s">
        <v>119</v>
      </c>
      <c r="H462" s="4" t="s">
        <v>1357</v>
      </c>
      <c r="I462" s="4" t="s">
        <v>149</v>
      </c>
      <c r="J462" s="4" t="s">
        <v>1654</v>
      </c>
      <c r="K462" s="4" t="s">
        <v>51</v>
      </c>
      <c r="L462" s="4" t="s">
        <v>37</v>
      </c>
      <c r="M462" s="4" t="s">
        <v>37</v>
      </c>
      <c r="N462" s="4" t="n">
        <v>2</v>
      </c>
      <c r="O462" s="4"/>
    </row>
    <row r="463" customFormat="false" ht="15" hidden="false" customHeight="false" outlineLevel="0" collapsed="false">
      <c r="A463" s="4" t="n">
        <v>37</v>
      </c>
      <c r="B463" s="4" t="s">
        <v>1637</v>
      </c>
      <c r="C463" s="4" t="s">
        <v>1638</v>
      </c>
      <c r="D463" s="4" t="s">
        <v>1639</v>
      </c>
      <c r="E463" s="4" t="s">
        <v>1655</v>
      </c>
      <c r="F463" s="4" t="s">
        <v>1656</v>
      </c>
      <c r="G463" s="4" t="s">
        <v>55</v>
      </c>
      <c r="H463" s="4" t="s">
        <v>1647</v>
      </c>
      <c r="I463" s="4" t="s">
        <v>149</v>
      </c>
      <c r="J463" s="4" t="s">
        <v>1657</v>
      </c>
      <c r="K463" s="4" t="s">
        <v>102</v>
      </c>
      <c r="L463" s="4" t="s">
        <v>36</v>
      </c>
      <c r="M463" s="4" t="s">
        <v>37</v>
      </c>
      <c r="N463" s="4" t="n">
        <v>1</v>
      </c>
      <c r="O463" s="4"/>
    </row>
    <row r="464" customFormat="false" ht="23.85" hidden="false" customHeight="false" outlineLevel="0" collapsed="false">
      <c r="A464" s="4" t="n">
        <v>37</v>
      </c>
      <c r="B464" s="4" t="s">
        <v>1637</v>
      </c>
      <c r="C464" s="4" t="s">
        <v>1638</v>
      </c>
      <c r="D464" s="4" t="s">
        <v>1639</v>
      </c>
      <c r="E464" s="4" t="s">
        <v>1574</v>
      </c>
      <c r="F464" s="4" t="s">
        <v>1575</v>
      </c>
      <c r="G464" s="4" t="s">
        <v>114</v>
      </c>
      <c r="H464" s="4" t="s">
        <v>1576</v>
      </c>
      <c r="I464" s="4" t="s">
        <v>191</v>
      </c>
      <c r="J464" s="4" t="s">
        <v>1658</v>
      </c>
      <c r="K464" s="4" t="s">
        <v>51</v>
      </c>
      <c r="L464" s="4" t="s">
        <v>37</v>
      </c>
      <c r="M464" s="4" t="s">
        <v>37</v>
      </c>
      <c r="N464" s="4" t="n">
        <v>2</v>
      </c>
      <c r="O464" s="4"/>
    </row>
    <row r="465" customFormat="false" ht="23.85" hidden="false" customHeight="false" outlineLevel="0" collapsed="false">
      <c r="A465" s="4" t="n">
        <v>37</v>
      </c>
      <c r="B465" s="4" t="s">
        <v>1637</v>
      </c>
      <c r="C465" s="4" t="s">
        <v>1638</v>
      </c>
      <c r="D465" s="4" t="s">
        <v>1639</v>
      </c>
      <c r="E465" s="4" t="s">
        <v>328</v>
      </c>
      <c r="F465" s="4" t="s">
        <v>329</v>
      </c>
      <c r="G465" s="4" t="s">
        <v>119</v>
      </c>
      <c r="H465" s="4" t="s">
        <v>330</v>
      </c>
      <c r="I465" s="4" t="s">
        <v>191</v>
      </c>
      <c r="J465" s="4" t="s">
        <v>1659</v>
      </c>
      <c r="K465" s="4" t="s">
        <v>51</v>
      </c>
      <c r="L465" s="4" t="s">
        <v>37</v>
      </c>
      <c r="M465" s="4" t="s">
        <v>37</v>
      </c>
      <c r="N465" s="4" t="n">
        <v>4</v>
      </c>
      <c r="O465" s="4"/>
    </row>
    <row r="466" customFormat="false" ht="23.85" hidden="false" customHeight="false" outlineLevel="0" collapsed="false">
      <c r="A466" s="4" t="n">
        <v>37</v>
      </c>
      <c r="B466" s="4" t="s">
        <v>1637</v>
      </c>
      <c r="C466" s="4" t="s">
        <v>1638</v>
      </c>
      <c r="D466" s="4" t="s">
        <v>1639</v>
      </c>
      <c r="E466" s="4" t="s">
        <v>1286</v>
      </c>
      <c r="F466" s="4" t="s">
        <v>1287</v>
      </c>
      <c r="G466" s="4" t="s">
        <v>55</v>
      </c>
      <c r="H466" s="4" t="s">
        <v>330</v>
      </c>
      <c r="I466" s="4" t="s">
        <v>191</v>
      </c>
      <c r="J466" s="4" t="s">
        <v>1660</v>
      </c>
      <c r="K466" s="4" t="s">
        <v>51</v>
      </c>
      <c r="L466" s="4" t="s">
        <v>37</v>
      </c>
      <c r="M466" s="4" t="s">
        <v>36</v>
      </c>
      <c r="N466" s="4" t="n">
        <v>3</v>
      </c>
      <c r="O466" s="4"/>
    </row>
    <row r="467" customFormat="false" ht="23.85" hidden="false" customHeight="false" outlineLevel="0" collapsed="false">
      <c r="A467" s="4" t="n">
        <v>37</v>
      </c>
      <c r="B467" s="4" t="s">
        <v>1637</v>
      </c>
      <c r="C467" s="4" t="s">
        <v>1638</v>
      </c>
      <c r="D467" s="4" t="s">
        <v>1639</v>
      </c>
      <c r="E467" s="4" t="s">
        <v>322</v>
      </c>
      <c r="F467" s="4" t="s">
        <v>323</v>
      </c>
      <c r="G467" s="4" t="s">
        <v>55</v>
      </c>
      <c r="H467" s="4" t="s">
        <v>324</v>
      </c>
      <c r="I467" s="4" t="s">
        <v>191</v>
      </c>
      <c r="J467" s="4" t="s">
        <v>1661</v>
      </c>
      <c r="K467" s="4" t="s">
        <v>51</v>
      </c>
      <c r="L467" s="4" t="s">
        <v>37</v>
      </c>
      <c r="M467" s="4" t="s">
        <v>37</v>
      </c>
      <c r="N467" s="4" t="n">
        <v>2</v>
      </c>
      <c r="O467" s="4"/>
    </row>
    <row r="468" customFormat="false" ht="23.85" hidden="false" customHeight="false" outlineLevel="0" collapsed="false">
      <c r="A468" s="4" t="n">
        <v>37</v>
      </c>
      <c r="B468" s="4" t="s">
        <v>1637</v>
      </c>
      <c r="C468" s="4" t="s">
        <v>1638</v>
      </c>
      <c r="D468" s="4" t="s">
        <v>1639</v>
      </c>
      <c r="E468" s="4" t="s">
        <v>903</v>
      </c>
      <c r="F468" s="4" t="s">
        <v>904</v>
      </c>
      <c r="G468" s="4" t="s">
        <v>55</v>
      </c>
      <c r="H468" s="4" t="s">
        <v>905</v>
      </c>
      <c r="I468" s="4" t="s">
        <v>191</v>
      </c>
      <c r="J468" s="4" t="s">
        <v>1662</v>
      </c>
      <c r="K468" s="4" t="s">
        <v>51</v>
      </c>
      <c r="L468" s="4" t="s">
        <v>37</v>
      </c>
      <c r="M468" s="4" t="s">
        <v>37</v>
      </c>
      <c r="N468" s="4" t="n">
        <v>3</v>
      </c>
      <c r="O468" s="4"/>
    </row>
    <row r="469" customFormat="false" ht="23.85" hidden="false" customHeight="false" outlineLevel="0" collapsed="false">
      <c r="A469" s="4" t="n">
        <v>37</v>
      </c>
      <c r="B469" s="4" t="s">
        <v>1637</v>
      </c>
      <c r="C469" s="4" t="s">
        <v>1638</v>
      </c>
      <c r="D469" s="4" t="s">
        <v>1639</v>
      </c>
      <c r="E469" s="4" t="s">
        <v>908</v>
      </c>
      <c r="F469" s="4" t="s">
        <v>909</v>
      </c>
      <c r="G469" s="4" t="s">
        <v>114</v>
      </c>
      <c r="H469" s="4" t="s">
        <v>910</v>
      </c>
      <c r="I469" s="4" t="s">
        <v>191</v>
      </c>
      <c r="J469" s="4" t="s">
        <v>1663</v>
      </c>
      <c r="K469" s="4" t="s">
        <v>51</v>
      </c>
      <c r="L469" s="4" t="s">
        <v>37</v>
      </c>
      <c r="M469" s="4" t="s">
        <v>37</v>
      </c>
      <c r="N469" s="4" t="n">
        <v>3</v>
      </c>
      <c r="O469" s="4"/>
    </row>
    <row r="470" customFormat="false" ht="23.85" hidden="false" customHeight="false" outlineLevel="0" collapsed="false">
      <c r="A470" s="4" t="n">
        <v>37</v>
      </c>
      <c r="B470" s="4" t="s">
        <v>1637</v>
      </c>
      <c r="C470" s="4" t="s">
        <v>1638</v>
      </c>
      <c r="D470" s="4" t="s">
        <v>1639</v>
      </c>
      <c r="E470" s="4" t="s">
        <v>937</v>
      </c>
      <c r="F470" s="4" t="s">
        <v>938</v>
      </c>
      <c r="G470" s="4" t="s">
        <v>55</v>
      </c>
      <c r="H470" s="4" t="s">
        <v>939</v>
      </c>
      <c r="I470" s="4" t="s">
        <v>191</v>
      </c>
      <c r="J470" s="4" t="s">
        <v>1664</v>
      </c>
      <c r="K470" s="4" t="s">
        <v>51</v>
      </c>
      <c r="L470" s="4" t="s">
        <v>37</v>
      </c>
      <c r="M470" s="4" t="s">
        <v>37</v>
      </c>
      <c r="N470" s="4" t="n">
        <v>2</v>
      </c>
      <c r="O470" s="4"/>
    </row>
    <row r="471" customFormat="false" ht="23.85" hidden="false" customHeight="false" outlineLevel="0" collapsed="false">
      <c r="A471" s="4" t="n">
        <v>37</v>
      </c>
      <c r="B471" s="4" t="s">
        <v>1637</v>
      </c>
      <c r="C471" s="4" t="s">
        <v>1638</v>
      </c>
      <c r="D471" s="4" t="s">
        <v>1639</v>
      </c>
      <c r="E471" s="4" t="s">
        <v>353</v>
      </c>
      <c r="F471" s="4" t="s">
        <v>354</v>
      </c>
      <c r="G471" s="4" t="s">
        <v>119</v>
      </c>
      <c r="H471" s="4" t="s">
        <v>355</v>
      </c>
      <c r="I471" s="4" t="s">
        <v>191</v>
      </c>
      <c r="J471" s="4" t="s">
        <v>1665</v>
      </c>
      <c r="K471" s="4" t="s">
        <v>51</v>
      </c>
      <c r="L471" s="4" t="s">
        <v>37</v>
      </c>
      <c r="M471" s="4" t="s">
        <v>37</v>
      </c>
      <c r="N471" s="4" t="n">
        <v>4</v>
      </c>
      <c r="O471" s="4"/>
    </row>
    <row r="472" customFormat="false" ht="15" hidden="false" customHeight="false" outlineLevel="0" collapsed="false">
      <c r="A472" s="4" t="n">
        <v>37</v>
      </c>
      <c r="B472" s="4" t="s">
        <v>1637</v>
      </c>
      <c r="C472" s="4" t="s">
        <v>1638</v>
      </c>
      <c r="D472" s="4" t="s">
        <v>1639</v>
      </c>
      <c r="E472" s="4" t="s">
        <v>1666</v>
      </c>
      <c r="F472" s="4" t="s">
        <v>1667</v>
      </c>
      <c r="G472" s="4" t="s">
        <v>119</v>
      </c>
      <c r="H472" s="4" t="s">
        <v>1668</v>
      </c>
      <c r="I472" s="4" t="s">
        <v>120</v>
      </c>
      <c r="J472" s="4" t="s">
        <v>1669</v>
      </c>
      <c r="K472" s="4" t="s">
        <v>102</v>
      </c>
      <c r="L472" s="4" t="s">
        <v>36</v>
      </c>
      <c r="M472" s="4" t="s">
        <v>37</v>
      </c>
      <c r="N472" s="4" t="n">
        <v>1</v>
      </c>
      <c r="O472" s="4" t="s">
        <v>1670</v>
      </c>
    </row>
    <row r="473" customFormat="false" ht="15" hidden="false" customHeight="false" outlineLevel="0" collapsed="false">
      <c r="A473" s="4" t="n">
        <v>37</v>
      </c>
      <c r="B473" s="4" t="s">
        <v>1637</v>
      </c>
      <c r="C473" s="4" t="s">
        <v>1638</v>
      </c>
      <c r="D473" s="4" t="s">
        <v>1639</v>
      </c>
      <c r="E473" s="4" t="s">
        <v>1671</v>
      </c>
      <c r="F473" s="4" t="s">
        <v>1672</v>
      </c>
      <c r="G473" s="4" t="s">
        <v>1623</v>
      </c>
      <c r="H473" s="4" t="s">
        <v>1673</v>
      </c>
      <c r="I473" s="4" t="s">
        <v>120</v>
      </c>
      <c r="J473" s="4" t="s">
        <v>1674</v>
      </c>
      <c r="K473" s="4" t="s">
        <v>51</v>
      </c>
      <c r="L473" s="4" t="s">
        <v>36</v>
      </c>
      <c r="M473" s="4" t="s">
        <v>37</v>
      </c>
      <c r="N473" s="4" t="n">
        <v>1</v>
      </c>
      <c r="O473" s="4" t="s">
        <v>1675</v>
      </c>
    </row>
  </sheetData>
  <autoFilter ref="A1:O4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3" min="1" style="0" width="9"/>
    <col collapsed="false" customWidth="true" hidden="false" outlineLevel="0" max="24" min="24" style="0" width="60"/>
  </cols>
  <sheetData>
    <row r="1" customFormat="false" ht="31.5" hidden="false" customHeight="true" outlineLevel="0" collapsed="false">
      <c r="A1" s="3" t="s">
        <v>12</v>
      </c>
      <c r="B1" s="3" t="s">
        <v>1676</v>
      </c>
      <c r="C1" s="3" t="s">
        <v>1677</v>
      </c>
      <c r="D1" s="3" t="s">
        <v>1678</v>
      </c>
      <c r="E1" s="3" t="s">
        <v>1679</v>
      </c>
      <c r="F1" s="3" t="s">
        <v>1680</v>
      </c>
      <c r="G1" s="3" t="s">
        <v>1681</v>
      </c>
      <c r="H1" s="3" t="s">
        <v>1682</v>
      </c>
      <c r="I1" s="3" t="s">
        <v>1683</v>
      </c>
      <c r="J1" s="3" t="s">
        <v>1684</v>
      </c>
      <c r="K1" s="3" t="s">
        <v>1685</v>
      </c>
      <c r="L1" s="3" t="s">
        <v>1686</v>
      </c>
      <c r="M1" s="3" t="s">
        <v>1687</v>
      </c>
      <c r="N1" s="3" t="s">
        <v>1688</v>
      </c>
      <c r="O1" s="3" t="s">
        <v>1689</v>
      </c>
      <c r="P1" s="3" t="s">
        <v>1690</v>
      </c>
      <c r="Q1" s="3" t="s">
        <v>1691</v>
      </c>
      <c r="R1" s="3" t="s">
        <v>1692</v>
      </c>
      <c r="S1" s="3" t="s">
        <v>1693</v>
      </c>
      <c r="T1" s="3" t="s">
        <v>1694</v>
      </c>
      <c r="U1" s="3" t="s">
        <v>1695</v>
      </c>
      <c r="V1" s="3" t="s">
        <v>1696</v>
      </c>
      <c r="W1" s="3" t="s">
        <v>1697</v>
      </c>
      <c r="X1" s="3" t="s">
        <v>25</v>
      </c>
    </row>
    <row r="2" customFormat="false" ht="35.05" hidden="false" customHeight="false" outlineLevel="0" collapsed="false">
      <c r="A2" s="4" t="s">
        <v>85</v>
      </c>
      <c r="B2" s="5" t="n">
        <v>4</v>
      </c>
      <c r="C2" s="5" t="n">
        <v>20</v>
      </c>
      <c r="D2" s="5" t="n">
        <v>0</v>
      </c>
      <c r="E2" s="5" t="n">
        <v>0</v>
      </c>
      <c r="F2" s="5" t="n">
        <v>0</v>
      </c>
      <c r="G2" s="5" t="n">
        <v>0</v>
      </c>
      <c r="H2" s="5" t="n">
        <v>0</v>
      </c>
      <c r="I2" s="6" t="n">
        <f aca="false">SUM(C2:H2)</f>
        <v>20</v>
      </c>
      <c r="J2" s="5"/>
      <c r="K2" s="5"/>
      <c r="L2" s="5"/>
      <c r="M2" s="5"/>
      <c r="N2" s="5"/>
      <c r="O2" s="5"/>
      <c r="P2" s="5" t="s">
        <v>1698</v>
      </c>
      <c r="Q2" s="5" t="n">
        <v>16</v>
      </c>
      <c r="R2" s="5" t="n">
        <v>4</v>
      </c>
      <c r="S2" s="5" t="n">
        <v>0</v>
      </c>
      <c r="T2" s="5" t="n">
        <v>0</v>
      </c>
      <c r="U2" s="5" t="n">
        <v>0</v>
      </c>
      <c r="V2" s="5" t="n">
        <v>0</v>
      </c>
      <c r="W2" s="6" t="n">
        <f aca="false">SUM(Q2:V2)</f>
        <v>20</v>
      </c>
      <c r="X2" s="4" t="s">
        <v>1699</v>
      </c>
    </row>
    <row r="3" customFormat="false" ht="23.85" hidden="false" customHeight="false" outlineLevel="0" collapsed="false">
      <c r="A3" s="4" t="s">
        <v>123</v>
      </c>
      <c r="B3" s="5" t="n">
        <v>5</v>
      </c>
      <c r="C3" s="5" t="n">
        <v>18</v>
      </c>
      <c r="D3" s="5" t="n">
        <v>2</v>
      </c>
      <c r="E3" s="5" t="n">
        <v>0</v>
      </c>
      <c r="F3" s="5" t="n">
        <v>0</v>
      </c>
      <c r="G3" s="5" t="n">
        <v>0</v>
      </c>
      <c r="H3" s="5" t="n">
        <v>0</v>
      </c>
      <c r="I3" s="6" t="n">
        <f aca="false">SUM(C3:H3)</f>
        <v>20</v>
      </c>
      <c r="J3" s="5"/>
      <c r="K3" s="5"/>
      <c r="L3" s="5"/>
      <c r="M3" s="5"/>
      <c r="N3" s="5"/>
      <c r="O3" s="5"/>
      <c r="P3" s="5" t="s">
        <v>1698</v>
      </c>
      <c r="Q3" s="5" t="n">
        <v>13</v>
      </c>
      <c r="R3" s="5" t="n">
        <v>4</v>
      </c>
      <c r="S3" s="5" t="n">
        <v>2</v>
      </c>
      <c r="T3" s="5" t="n">
        <v>0</v>
      </c>
      <c r="U3" s="5" t="n">
        <v>0</v>
      </c>
      <c r="V3" s="5" t="n">
        <v>1</v>
      </c>
      <c r="W3" s="6" t="n">
        <f aca="false">SUM(Q3:V3)</f>
        <v>20</v>
      </c>
      <c r="X3" s="4" t="s">
        <v>1700</v>
      </c>
    </row>
    <row r="4" customFormat="false" ht="23.85" hidden="false" customHeight="false" outlineLevel="0" collapsed="false">
      <c r="A4" s="4" t="s">
        <v>201</v>
      </c>
      <c r="B4" s="5" t="n">
        <v>5</v>
      </c>
      <c r="C4" s="5" t="n">
        <v>16</v>
      </c>
      <c r="D4" s="5" t="n">
        <v>3</v>
      </c>
      <c r="E4" s="5" t="n">
        <v>1</v>
      </c>
      <c r="F4" s="5" t="n">
        <v>0</v>
      </c>
      <c r="G4" s="5" t="n">
        <v>0</v>
      </c>
      <c r="H4" s="5" t="n">
        <v>0</v>
      </c>
      <c r="I4" s="6" t="n">
        <f aca="false">SUM(C4:H4)</f>
        <v>20</v>
      </c>
      <c r="J4" s="5"/>
      <c r="K4" s="5"/>
      <c r="L4" s="5"/>
      <c r="M4" s="5"/>
      <c r="N4" s="5"/>
      <c r="O4" s="5"/>
      <c r="P4" s="5" t="s">
        <v>1698</v>
      </c>
      <c r="Q4" s="5" t="n">
        <v>12</v>
      </c>
      <c r="R4" s="5" t="n">
        <v>5</v>
      </c>
      <c r="S4" s="5" t="n">
        <v>2</v>
      </c>
      <c r="T4" s="5" t="n">
        <v>0</v>
      </c>
      <c r="U4" s="5" t="n">
        <v>0</v>
      </c>
      <c r="V4" s="5" t="n">
        <v>1</v>
      </c>
      <c r="W4" s="6" t="n">
        <f aca="false">SUM(Q4:V4)</f>
        <v>20</v>
      </c>
      <c r="X4" s="4" t="s">
        <v>1701</v>
      </c>
    </row>
    <row r="5" customFormat="false" ht="15" hidden="false" customHeight="false" outlineLevel="0" collapsed="false">
      <c r="A5" s="4" t="s">
        <v>304</v>
      </c>
      <c r="B5" s="5" t="n">
        <v>6</v>
      </c>
      <c r="C5" s="5" t="n">
        <v>16</v>
      </c>
      <c r="D5" s="5" t="n">
        <v>3</v>
      </c>
      <c r="E5" s="5" t="n">
        <v>1</v>
      </c>
      <c r="F5" s="5" t="n">
        <v>0</v>
      </c>
      <c r="G5" s="5" t="n">
        <v>0</v>
      </c>
      <c r="H5" s="5" t="n">
        <v>0</v>
      </c>
      <c r="I5" s="6" t="n">
        <f aca="false">SUM(C5:H5)</f>
        <v>20</v>
      </c>
      <c r="J5" s="5"/>
      <c r="K5" s="5"/>
      <c r="L5" s="5"/>
      <c r="M5" s="5"/>
      <c r="N5" s="5"/>
      <c r="O5" s="5"/>
      <c r="P5" s="5" t="s">
        <v>1698</v>
      </c>
      <c r="Q5" s="5" t="n">
        <v>12</v>
      </c>
      <c r="R5" s="5" t="n">
        <v>5</v>
      </c>
      <c r="S5" s="5" t="n">
        <v>2</v>
      </c>
      <c r="T5" s="5" t="n">
        <v>0</v>
      </c>
      <c r="U5" s="5" t="n">
        <v>0</v>
      </c>
      <c r="V5" s="5" t="n">
        <v>1</v>
      </c>
      <c r="W5" s="6" t="n">
        <f aca="false">SUM(Q5:V5)</f>
        <v>20</v>
      </c>
      <c r="X5" s="4"/>
    </row>
    <row r="6" customFormat="false" ht="15" hidden="false" customHeight="false" outlineLevel="0" collapsed="false">
      <c r="A6" s="4" t="s">
        <v>359</v>
      </c>
      <c r="B6" s="5" t="n">
        <v>6</v>
      </c>
      <c r="C6" s="5" t="n">
        <v>16</v>
      </c>
      <c r="D6" s="5" t="n">
        <v>3</v>
      </c>
      <c r="E6" s="5" t="n">
        <v>1</v>
      </c>
      <c r="F6" s="5" t="n">
        <v>0</v>
      </c>
      <c r="G6" s="5" t="n">
        <v>0</v>
      </c>
      <c r="H6" s="5" t="n">
        <v>0</v>
      </c>
      <c r="I6" s="6" t="n">
        <f aca="false">SUM(C6:H6)</f>
        <v>20</v>
      </c>
      <c r="J6" s="5" t="n">
        <v>13</v>
      </c>
      <c r="K6" s="5" t="n">
        <v>4</v>
      </c>
      <c r="L6" s="5" t="n">
        <v>3</v>
      </c>
      <c r="M6" s="5" t="n">
        <v>0</v>
      </c>
      <c r="N6" s="5" t="n">
        <v>0</v>
      </c>
      <c r="O6" s="5" t="n">
        <v>0</v>
      </c>
      <c r="P6" s="6" t="n">
        <f aca="false">SUM(J6:O6)</f>
        <v>20</v>
      </c>
      <c r="Q6" s="5" t="n">
        <v>12</v>
      </c>
      <c r="R6" s="5" t="n">
        <v>5</v>
      </c>
      <c r="S6" s="5" t="n">
        <v>2</v>
      </c>
      <c r="T6" s="5" t="n">
        <v>0</v>
      </c>
      <c r="U6" s="5" t="n">
        <v>0</v>
      </c>
      <c r="V6" s="5" t="n">
        <v>1</v>
      </c>
      <c r="W6" s="6" t="n">
        <f aca="false">SUM(Q6:V6)</f>
        <v>20</v>
      </c>
      <c r="X6" s="4" t="s">
        <v>1702</v>
      </c>
    </row>
    <row r="7" customFormat="false" ht="15" hidden="false" customHeight="false" outlineLevel="0" collapsed="false">
      <c r="A7" s="4" t="s">
        <v>430</v>
      </c>
      <c r="B7" s="5" t="n">
        <v>6</v>
      </c>
      <c r="C7" s="5" t="n">
        <v>15</v>
      </c>
      <c r="D7" s="5" t="n">
        <v>4</v>
      </c>
      <c r="E7" s="5" t="n">
        <v>1</v>
      </c>
      <c r="F7" s="5" t="n">
        <v>0</v>
      </c>
      <c r="G7" s="5" t="n">
        <v>0</v>
      </c>
      <c r="H7" s="5" t="n">
        <v>0</v>
      </c>
      <c r="I7" s="6" t="n">
        <f aca="false">SUM(C7:H7)</f>
        <v>20</v>
      </c>
      <c r="J7" s="5" t="n">
        <v>12</v>
      </c>
      <c r="K7" s="5" t="n">
        <v>5</v>
      </c>
      <c r="L7" s="5" t="n">
        <v>3</v>
      </c>
      <c r="M7" s="5" t="n">
        <v>0</v>
      </c>
      <c r="N7" s="5" t="n">
        <v>0</v>
      </c>
      <c r="O7" s="5" t="n">
        <v>0</v>
      </c>
      <c r="P7" s="6" t="n">
        <f aca="false">SUM(J7:O7)</f>
        <v>20</v>
      </c>
      <c r="Q7" s="5" t="n">
        <v>10</v>
      </c>
      <c r="R7" s="5" t="n">
        <v>6</v>
      </c>
      <c r="S7" s="5" t="n">
        <v>3</v>
      </c>
      <c r="T7" s="5" t="n">
        <v>0</v>
      </c>
      <c r="U7" s="5" t="n">
        <v>0</v>
      </c>
      <c r="V7" s="5" t="n">
        <v>1</v>
      </c>
      <c r="W7" s="6" t="n">
        <f aca="false">SUM(Q7:V7)</f>
        <v>20</v>
      </c>
      <c r="X7" s="4"/>
    </row>
    <row r="8" customFormat="false" ht="15" hidden="false" customHeight="false" outlineLevel="0" collapsed="false">
      <c r="A8" s="4" t="s">
        <v>506</v>
      </c>
      <c r="B8" s="5" t="n">
        <v>6</v>
      </c>
      <c r="C8" s="5" t="n">
        <v>15</v>
      </c>
      <c r="D8" s="5" t="n">
        <v>4</v>
      </c>
      <c r="E8" s="5" t="n">
        <v>1</v>
      </c>
      <c r="F8" s="5" t="n">
        <v>0</v>
      </c>
      <c r="G8" s="5" t="n">
        <v>0</v>
      </c>
      <c r="H8" s="5" t="n">
        <v>0</v>
      </c>
      <c r="I8" s="6" t="n">
        <f aca="false">SUM(C8:H8)</f>
        <v>20</v>
      </c>
      <c r="J8" s="5" t="n">
        <v>12</v>
      </c>
      <c r="K8" s="5" t="n">
        <v>5</v>
      </c>
      <c r="L8" s="5" t="n">
        <v>3</v>
      </c>
      <c r="M8" s="5" t="n">
        <v>0</v>
      </c>
      <c r="N8" s="5" t="n">
        <v>0</v>
      </c>
      <c r="O8" s="5" t="n">
        <v>0</v>
      </c>
      <c r="P8" s="6" t="n">
        <f aca="false">SUM(J8:O8)</f>
        <v>20</v>
      </c>
      <c r="Q8" s="5" t="n">
        <v>10</v>
      </c>
      <c r="R8" s="5" t="n">
        <v>6</v>
      </c>
      <c r="S8" s="5" t="n">
        <v>3</v>
      </c>
      <c r="T8" s="5" t="n">
        <v>0</v>
      </c>
      <c r="U8" s="5" t="n">
        <v>0</v>
      </c>
      <c r="V8" s="5" t="n">
        <v>1</v>
      </c>
      <c r="W8" s="6" t="n">
        <f aca="false">SUM(Q8:V8)</f>
        <v>20</v>
      </c>
      <c r="X8" s="4"/>
    </row>
    <row r="9" customFormat="false" ht="15" hidden="false" customHeight="false" outlineLevel="0" collapsed="false">
      <c r="A9" s="4" t="s">
        <v>561</v>
      </c>
      <c r="B9" s="5" t="n">
        <v>6</v>
      </c>
      <c r="C9" s="5" t="n">
        <v>15</v>
      </c>
      <c r="D9" s="5" t="n">
        <v>4</v>
      </c>
      <c r="E9" s="5" t="n">
        <v>1</v>
      </c>
      <c r="F9" s="5" t="n">
        <v>0</v>
      </c>
      <c r="G9" s="5" t="n">
        <v>0</v>
      </c>
      <c r="H9" s="5" t="n">
        <v>0</v>
      </c>
      <c r="I9" s="6" t="n">
        <f aca="false">SUM(C9:H9)</f>
        <v>20</v>
      </c>
      <c r="J9" s="5" t="n">
        <v>12</v>
      </c>
      <c r="K9" s="5" t="n">
        <v>5</v>
      </c>
      <c r="L9" s="5" t="n">
        <v>3</v>
      </c>
      <c r="M9" s="5" t="n">
        <v>0</v>
      </c>
      <c r="N9" s="5" t="n">
        <v>0</v>
      </c>
      <c r="O9" s="5" t="n">
        <v>0</v>
      </c>
      <c r="P9" s="6" t="n">
        <f aca="false">SUM(J9:O9)</f>
        <v>20</v>
      </c>
      <c r="Q9" s="5" t="n">
        <v>10</v>
      </c>
      <c r="R9" s="5" t="n">
        <v>6</v>
      </c>
      <c r="S9" s="5" t="n">
        <v>3</v>
      </c>
      <c r="T9" s="5" t="n">
        <v>0</v>
      </c>
      <c r="U9" s="5" t="n">
        <v>0</v>
      </c>
      <c r="V9" s="5" t="n">
        <v>1</v>
      </c>
      <c r="W9" s="6" t="n">
        <f aca="false">SUM(Q9:V9)</f>
        <v>20</v>
      </c>
      <c r="X9" s="4"/>
    </row>
    <row r="10" customFormat="false" ht="15" hidden="false" customHeight="false" outlineLevel="0" collapsed="false">
      <c r="A10" s="4" t="s">
        <v>640</v>
      </c>
      <c r="B10" s="5" t="n">
        <v>7</v>
      </c>
      <c r="C10" s="5" t="n">
        <v>14</v>
      </c>
      <c r="D10" s="5" t="n">
        <v>5</v>
      </c>
      <c r="E10" s="5" t="n">
        <v>1</v>
      </c>
      <c r="F10" s="5" t="n">
        <v>0</v>
      </c>
      <c r="G10" s="5" t="n">
        <v>0</v>
      </c>
      <c r="H10" s="5" t="n">
        <v>0</v>
      </c>
      <c r="I10" s="6" t="n">
        <f aca="false">SUM(C10:H10)</f>
        <v>20</v>
      </c>
      <c r="J10" s="5" t="n">
        <v>11</v>
      </c>
      <c r="K10" s="5" t="n">
        <v>6</v>
      </c>
      <c r="L10" s="5" t="n">
        <v>3</v>
      </c>
      <c r="M10" s="5" t="n">
        <v>0</v>
      </c>
      <c r="N10" s="5" t="n">
        <v>0</v>
      </c>
      <c r="O10" s="5" t="n">
        <v>0</v>
      </c>
      <c r="P10" s="6" t="n">
        <f aca="false">SUM(J10:O10)</f>
        <v>20</v>
      </c>
      <c r="Q10" s="5" t="n">
        <v>8</v>
      </c>
      <c r="R10" s="5" t="n">
        <v>7</v>
      </c>
      <c r="S10" s="5" t="n">
        <v>3</v>
      </c>
      <c r="T10" s="5" t="n">
        <v>1</v>
      </c>
      <c r="U10" s="5" t="n">
        <v>0</v>
      </c>
      <c r="V10" s="5" t="n">
        <v>1</v>
      </c>
      <c r="W10" s="6" t="n">
        <f aca="false">SUM(Q10:V10)</f>
        <v>20</v>
      </c>
      <c r="X10" s="4"/>
    </row>
    <row r="11" customFormat="false" ht="15" hidden="false" customHeight="false" outlineLevel="0" collapsed="false">
      <c r="A11" s="4" t="s">
        <v>740</v>
      </c>
      <c r="B11" s="5" t="n">
        <v>7</v>
      </c>
      <c r="C11" s="5" t="n">
        <v>14</v>
      </c>
      <c r="D11" s="5" t="n">
        <v>5</v>
      </c>
      <c r="E11" s="5" t="n">
        <v>1</v>
      </c>
      <c r="F11" s="5" t="n">
        <v>0</v>
      </c>
      <c r="G11" s="5" t="n">
        <v>0</v>
      </c>
      <c r="H11" s="5" t="n">
        <v>0</v>
      </c>
      <c r="I11" s="6" t="n">
        <f aca="false">SUM(C11:H11)</f>
        <v>20</v>
      </c>
      <c r="J11" s="5" t="n">
        <v>11</v>
      </c>
      <c r="K11" s="5" t="n">
        <v>6</v>
      </c>
      <c r="L11" s="5" t="n">
        <v>3</v>
      </c>
      <c r="M11" s="5" t="n">
        <v>0</v>
      </c>
      <c r="N11" s="5" t="n">
        <v>0</v>
      </c>
      <c r="O11" s="5" t="n">
        <v>0</v>
      </c>
      <c r="P11" s="6" t="n">
        <f aca="false">SUM(J11:O11)</f>
        <v>20</v>
      </c>
      <c r="Q11" s="5" t="n">
        <v>8</v>
      </c>
      <c r="R11" s="5" t="n">
        <v>7</v>
      </c>
      <c r="S11" s="5" t="n">
        <v>3</v>
      </c>
      <c r="T11" s="5" t="n">
        <v>1</v>
      </c>
      <c r="U11" s="5" t="n">
        <v>0</v>
      </c>
      <c r="V11" s="5" t="n">
        <v>1</v>
      </c>
      <c r="W11" s="6" t="n">
        <f aca="false">SUM(Q11:V11)</f>
        <v>20</v>
      </c>
      <c r="X11" s="4"/>
    </row>
    <row r="12" customFormat="false" ht="15" hidden="false" customHeight="false" outlineLevel="0" collapsed="false">
      <c r="A12" s="4" t="s">
        <v>788</v>
      </c>
      <c r="B12" s="5" t="n">
        <v>7</v>
      </c>
      <c r="C12" s="5" t="n">
        <v>13</v>
      </c>
      <c r="D12" s="5" t="n">
        <v>5</v>
      </c>
      <c r="E12" s="5" t="n">
        <v>2</v>
      </c>
      <c r="F12" s="5" t="n">
        <v>0</v>
      </c>
      <c r="G12" s="5" t="n">
        <v>0</v>
      </c>
      <c r="H12" s="5" t="n">
        <v>0</v>
      </c>
      <c r="I12" s="6" t="n">
        <f aca="false">SUM(C12:H12)</f>
        <v>20</v>
      </c>
      <c r="J12" s="5" t="n">
        <v>9</v>
      </c>
      <c r="K12" s="5" t="n">
        <v>6</v>
      </c>
      <c r="L12" s="5" t="n">
        <v>4</v>
      </c>
      <c r="M12" s="5" t="n">
        <v>1</v>
      </c>
      <c r="N12" s="5" t="n">
        <v>0</v>
      </c>
      <c r="O12" s="5" t="n">
        <v>0</v>
      </c>
      <c r="P12" s="6" t="n">
        <f aca="false">SUM(J12:O12)</f>
        <v>20</v>
      </c>
      <c r="Q12" s="5" t="n">
        <v>7</v>
      </c>
      <c r="R12" s="5" t="n">
        <v>7</v>
      </c>
      <c r="S12" s="5" t="n">
        <v>4</v>
      </c>
      <c r="T12" s="5" t="n">
        <v>1</v>
      </c>
      <c r="U12" s="5" t="n">
        <v>0</v>
      </c>
      <c r="V12" s="5" t="n">
        <v>1</v>
      </c>
      <c r="W12" s="6" t="n">
        <f aca="false">SUM(Q12:V12)</f>
        <v>20</v>
      </c>
      <c r="X12" s="4" t="s">
        <v>1703</v>
      </c>
    </row>
    <row r="13" customFormat="false" ht="15" hidden="false" customHeight="false" outlineLevel="0" collapsed="false">
      <c r="A13" s="4" t="s">
        <v>893</v>
      </c>
      <c r="B13" s="5" t="n">
        <v>7</v>
      </c>
      <c r="C13" s="5" t="n">
        <v>12</v>
      </c>
      <c r="D13" s="5" t="n">
        <v>6</v>
      </c>
      <c r="E13" s="5" t="n">
        <v>2</v>
      </c>
      <c r="F13" s="5" t="n">
        <v>0</v>
      </c>
      <c r="G13" s="5" t="n">
        <v>0</v>
      </c>
      <c r="H13" s="5" t="n">
        <v>0</v>
      </c>
      <c r="I13" s="6" t="n">
        <f aca="false">SUM(C13:H13)</f>
        <v>20</v>
      </c>
      <c r="J13" s="5" t="n">
        <v>8</v>
      </c>
      <c r="K13" s="5" t="n">
        <v>7</v>
      </c>
      <c r="L13" s="5" t="n">
        <v>4</v>
      </c>
      <c r="M13" s="5" t="n">
        <v>1</v>
      </c>
      <c r="N13" s="5" t="n">
        <v>0</v>
      </c>
      <c r="O13" s="5" t="n">
        <v>0</v>
      </c>
      <c r="P13" s="6" t="n">
        <f aca="false">SUM(J13:O13)</f>
        <v>20</v>
      </c>
      <c r="Q13" s="5" t="n">
        <v>6</v>
      </c>
      <c r="R13" s="5" t="n">
        <v>8</v>
      </c>
      <c r="S13" s="5" t="n">
        <v>4</v>
      </c>
      <c r="T13" s="5" t="n">
        <v>1</v>
      </c>
      <c r="U13" s="5" t="n">
        <v>0</v>
      </c>
      <c r="V13" s="5" t="n">
        <v>1</v>
      </c>
      <c r="W13" s="6" t="n">
        <f aca="false">SUM(Q13:V13)</f>
        <v>20</v>
      </c>
      <c r="X13" s="4"/>
    </row>
    <row r="14" customFormat="false" ht="15" hidden="false" customHeight="false" outlineLevel="0" collapsed="false">
      <c r="A14" s="4" t="s">
        <v>963</v>
      </c>
      <c r="B14" s="5" t="n">
        <v>7</v>
      </c>
      <c r="C14" s="5" t="n">
        <v>12</v>
      </c>
      <c r="D14" s="5" t="n">
        <v>6</v>
      </c>
      <c r="E14" s="5" t="n">
        <v>2</v>
      </c>
      <c r="F14" s="5" t="n">
        <v>0</v>
      </c>
      <c r="G14" s="5" t="n">
        <v>0</v>
      </c>
      <c r="H14" s="5" t="n">
        <v>0</v>
      </c>
      <c r="I14" s="6" t="n">
        <f aca="false">SUM(C14:H14)</f>
        <v>20</v>
      </c>
      <c r="J14" s="5" t="n">
        <v>8</v>
      </c>
      <c r="K14" s="5" t="n">
        <v>7</v>
      </c>
      <c r="L14" s="5" t="n">
        <v>4</v>
      </c>
      <c r="M14" s="5" t="n">
        <v>1</v>
      </c>
      <c r="N14" s="5" t="n">
        <v>0</v>
      </c>
      <c r="O14" s="5" t="n">
        <v>0</v>
      </c>
      <c r="P14" s="6" t="n">
        <f aca="false">SUM(J14:O14)</f>
        <v>20</v>
      </c>
      <c r="Q14" s="5" t="n">
        <v>6</v>
      </c>
      <c r="R14" s="5" t="n">
        <v>8</v>
      </c>
      <c r="S14" s="5" t="n">
        <v>4</v>
      </c>
      <c r="T14" s="5" t="n">
        <v>1</v>
      </c>
      <c r="U14" s="5" t="n">
        <v>0</v>
      </c>
      <c r="V14" s="5" t="n">
        <v>1</v>
      </c>
      <c r="W14" s="6" t="n">
        <f aca="false">SUM(Q14:V14)</f>
        <v>20</v>
      </c>
      <c r="X14" s="4"/>
    </row>
    <row r="15" customFormat="false" ht="15" hidden="false" customHeight="false" outlineLevel="0" collapsed="false">
      <c r="A15" s="4" t="s">
        <v>1028</v>
      </c>
      <c r="B15" s="5" t="n">
        <v>8</v>
      </c>
      <c r="C15" s="5" t="n">
        <v>12</v>
      </c>
      <c r="D15" s="5" t="n">
        <v>6</v>
      </c>
      <c r="E15" s="5" t="n">
        <v>2</v>
      </c>
      <c r="F15" s="5" t="n">
        <v>0</v>
      </c>
      <c r="G15" s="5" t="n">
        <v>0</v>
      </c>
      <c r="H15" s="5" t="n">
        <v>0</v>
      </c>
      <c r="I15" s="6" t="n">
        <f aca="false">SUM(C15:H15)</f>
        <v>20</v>
      </c>
      <c r="J15" s="5" t="n">
        <v>8</v>
      </c>
      <c r="K15" s="5" t="n">
        <v>7</v>
      </c>
      <c r="L15" s="5" t="n">
        <v>4</v>
      </c>
      <c r="M15" s="5" t="n">
        <v>1</v>
      </c>
      <c r="N15" s="5" t="n">
        <v>0</v>
      </c>
      <c r="O15" s="5" t="n">
        <v>0</v>
      </c>
      <c r="P15" s="6" t="n">
        <f aca="false">SUM(J15:O15)</f>
        <v>20</v>
      </c>
      <c r="Q15" s="5" t="n">
        <v>6</v>
      </c>
      <c r="R15" s="5" t="n">
        <v>8</v>
      </c>
      <c r="S15" s="5" t="n">
        <v>4</v>
      </c>
      <c r="T15" s="5" t="n">
        <v>1</v>
      </c>
      <c r="U15" s="5" t="n">
        <v>0</v>
      </c>
      <c r="V15" s="5" t="n">
        <v>1</v>
      </c>
      <c r="W15" s="6" t="n">
        <f aca="false">SUM(Q15:V15)</f>
        <v>20</v>
      </c>
      <c r="X15" s="4"/>
    </row>
    <row r="16" customFormat="false" ht="15" hidden="false" customHeight="false" outlineLevel="0" collapsed="false">
      <c r="A16" s="4" t="s">
        <v>1097</v>
      </c>
      <c r="B16" s="5" t="n">
        <v>8</v>
      </c>
      <c r="C16" s="5" t="n">
        <v>11</v>
      </c>
      <c r="D16" s="5" t="n">
        <v>7</v>
      </c>
      <c r="E16" s="5" t="n">
        <v>2</v>
      </c>
      <c r="F16" s="5" t="n">
        <v>0</v>
      </c>
      <c r="G16" s="5" t="n">
        <v>0</v>
      </c>
      <c r="H16" s="5" t="n">
        <v>0</v>
      </c>
      <c r="I16" s="6" t="n">
        <f aca="false">SUM(C16:H16)</f>
        <v>20</v>
      </c>
      <c r="J16" s="5" t="n">
        <v>7</v>
      </c>
      <c r="K16" s="5" t="n">
        <v>8</v>
      </c>
      <c r="L16" s="5" t="n">
        <v>4</v>
      </c>
      <c r="M16" s="5" t="n">
        <v>1</v>
      </c>
      <c r="N16" s="5" t="n">
        <v>0</v>
      </c>
      <c r="O16" s="5" t="n">
        <v>0</v>
      </c>
      <c r="P16" s="6" t="n">
        <f aca="false">SUM(J16:O16)</f>
        <v>20</v>
      </c>
      <c r="Q16" s="5" t="n">
        <v>6</v>
      </c>
      <c r="R16" s="5" t="n">
        <v>8</v>
      </c>
      <c r="S16" s="5" t="n">
        <v>4</v>
      </c>
      <c r="T16" s="5" t="n">
        <v>1</v>
      </c>
      <c r="U16" s="5" t="n">
        <v>0</v>
      </c>
      <c r="V16" s="5" t="n">
        <v>1</v>
      </c>
      <c r="W16" s="6" t="n">
        <f aca="false">SUM(Q16:V16)</f>
        <v>20</v>
      </c>
      <c r="X16" s="4"/>
    </row>
    <row r="17" customFormat="false" ht="15" hidden="false" customHeight="false" outlineLevel="0" collapsed="false">
      <c r="A17" s="4" t="s">
        <v>1180</v>
      </c>
      <c r="B17" s="5" t="n">
        <v>8</v>
      </c>
      <c r="C17" s="5" t="n">
        <v>11</v>
      </c>
      <c r="D17" s="5" t="n">
        <v>7</v>
      </c>
      <c r="E17" s="5" t="n">
        <v>2</v>
      </c>
      <c r="F17" s="5" t="n">
        <v>0</v>
      </c>
      <c r="G17" s="5" t="n">
        <v>0</v>
      </c>
      <c r="H17" s="5" t="n">
        <v>0</v>
      </c>
      <c r="I17" s="6" t="n">
        <f aca="false">SUM(C17:H17)</f>
        <v>20</v>
      </c>
      <c r="J17" s="5" t="n">
        <v>7</v>
      </c>
      <c r="K17" s="5" t="n">
        <v>8</v>
      </c>
      <c r="L17" s="5" t="n">
        <v>4</v>
      </c>
      <c r="M17" s="5" t="n">
        <v>1</v>
      </c>
      <c r="N17" s="5" t="n">
        <v>0</v>
      </c>
      <c r="O17" s="5" t="n">
        <v>0</v>
      </c>
      <c r="P17" s="6" t="n">
        <f aca="false">SUM(J17:O17)</f>
        <v>20</v>
      </c>
      <c r="Q17" s="5" t="n">
        <v>5</v>
      </c>
      <c r="R17" s="5" t="n">
        <v>8</v>
      </c>
      <c r="S17" s="5" t="n">
        <v>5</v>
      </c>
      <c r="T17" s="5" t="n">
        <v>1</v>
      </c>
      <c r="U17" s="5" t="n">
        <v>0</v>
      </c>
      <c r="V17" s="5" t="n">
        <v>1</v>
      </c>
      <c r="W17" s="6" t="n">
        <f aca="false">SUM(Q17:V17)</f>
        <v>20</v>
      </c>
      <c r="X17" s="4"/>
    </row>
    <row r="18" customFormat="false" ht="23.85" hidden="false" customHeight="false" outlineLevel="0" collapsed="false">
      <c r="A18" s="4" t="s">
        <v>1265</v>
      </c>
      <c r="B18" s="5" t="n">
        <v>8</v>
      </c>
      <c r="C18" s="5" t="n">
        <v>10</v>
      </c>
      <c r="D18" s="5" t="n">
        <v>7</v>
      </c>
      <c r="E18" s="5" t="n">
        <v>3</v>
      </c>
      <c r="F18" s="5" t="n">
        <v>0</v>
      </c>
      <c r="G18" s="5" t="n">
        <v>0</v>
      </c>
      <c r="H18" s="5" t="n">
        <v>0</v>
      </c>
      <c r="I18" s="6" t="n">
        <f aca="false">SUM(C18:H18)</f>
        <v>20</v>
      </c>
      <c r="J18" s="5" t="n">
        <v>6</v>
      </c>
      <c r="K18" s="5" t="n">
        <v>8</v>
      </c>
      <c r="L18" s="5" t="n">
        <v>5</v>
      </c>
      <c r="M18" s="5" t="n">
        <v>1</v>
      </c>
      <c r="N18" s="5" t="n">
        <v>0</v>
      </c>
      <c r="O18" s="5" t="n">
        <v>0</v>
      </c>
      <c r="P18" s="6" t="n">
        <f aca="false">SUM(J18:O18)</f>
        <v>20</v>
      </c>
      <c r="Q18" s="5" t="n">
        <v>4</v>
      </c>
      <c r="R18" s="5" t="n">
        <v>8</v>
      </c>
      <c r="S18" s="5" t="n">
        <v>5</v>
      </c>
      <c r="T18" s="5" t="n">
        <v>2</v>
      </c>
      <c r="U18" s="5" t="n">
        <v>0</v>
      </c>
      <c r="V18" s="5" t="n">
        <v>1</v>
      </c>
      <c r="W18" s="6" t="n">
        <f aca="false">SUM(Q18:V18)</f>
        <v>20</v>
      </c>
      <c r="X18" s="4" t="s">
        <v>1704</v>
      </c>
    </row>
    <row r="19" customFormat="false" ht="15" hidden="false" customHeight="false" outlineLevel="0" collapsed="false">
      <c r="A19" s="4" t="s">
        <v>1318</v>
      </c>
      <c r="B19" s="5" t="n">
        <v>8</v>
      </c>
      <c r="C19" s="5" t="n">
        <v>9</v>
      </c>
      <c r="D19" s="5" t="n">
        <v>8</v>
      </c>
      <c r="E19" s="5" t="n">
        <v>3</v>
      </c>
      <c r="F19" s="5" t="n">
        <v>0</v>
      </c>
      <c r="G19" s="5" t="n">
        <v>0</v>
      </c>
      <c r="H19" s="5" t="n">
        <v>0</v>
      </c>
      <c r="I19" s="6" t="n">
        <f aca="false">SUM(C19:H19)</f>
        <v>20</v>
      </c>
      <c r="J19" s="5" t="n">
        <v>5</v>
      </c>
      <c r="K19" s="5" t="n">
        <v>9</v>
      </c>
      <c r="L19" s="5" t="n">
        <v>5</v>
      </c>
      <c r="M19" s="5" t="n">
        <v>1</v>
      </c>
      <c r="N19" s="5" t="n">
        <v>0</v>
      </c>
      <c r="O19" s="5" t="n">
        <v>0</v>
      </c>
      <c r="P19" s="6" t="n">
        <f aca="false">SUM(J19:O19)</f>
        <v>20</v>
      </c>
      <c r="Q19" s="5" t="n">
        <v>4</v>
      </c>
      <c r="R19" s="5" t="n">
        <v>8</v>
      </c>
      <c r="S19" s="5" t="n">
        <v>5</v>
      </c>
      <c r="T19" s="5" t="n">
        <v>2</v>
      </c>
      <c r="U19" s="5" t="n">
        <v>0</v>
      </c>
      <c r="V19" s="5" t="n">
        <v>1</v>
      </c>
      <c r="W19" s="6" t="n">
        <f aca="false">SUM(Q19:V19)</f>
        <v>20</v>
      </c>
      <c r="X19" s="4"/>
    </row>
    <row r="20" customFormat="false" ht="15" hidden="false" customHeight="false" outlineLevel="0" collapsed="false">
      <c r="A20" s="4" t="s">
        <v>1416</v>
      </c>
      <c r="B20" s="5" t="n">
        <v>9</v>
      </c>
      <c r="C20" s="5" t="n">
        <v>9</v>
      </c>
      <c r="D20" s="5" t="n">
        <v>8</v>
      </c>
      <c r="E20" s="5" t="n">
        <v>3</v>
      </c>
      <c r="F20" s="5" t="n">
        <v>0</v>
      </c>
      <c r="G20" s="5" t="n">
        <v>0</v>
      </c>
      <c r="H20" s="5" t="n">
        <v>0</v>
      </c>
      <c r="I20" s="6" t="n">
        <f aca="false">SUM(C20:H20)</f>
        <v>20</v>
      </c>
      <c r="J20" s="5" t="n">
        <v>5</v>
      </c>
      <c r="K20" s="5" t="n">
        <v>9</v>
      </c>
      <c r="L20" s="5" t="n">
        <v>5</v>
      </c>
      <c r="M20" s="5" t="n">
        <v>1</v>
      </c>
      <c r="N20" s="5" t="n">
        <v>0</v>
      </c>
      <c r="O20" s="5" t="n">
        <v>0</v>
      </c>
      <c r="P20" s="6" t="n">
        <f aca="false">SUM(J20:O20)</f>
        <v>20</v>
      </c>
      <c r="Q20" s="5" t="n">
        <v>4</v>
      </c>
      <c r="R20" s="5" t="n">
        <v>8</v>
      </c>
      <c r="S20" s="5" t="n">
        <v>5</v>
      </c>
      <c r="T20" s="5" t="n">
        <v>2</v>
      </c>
      <c r="U20" s="5" t="n">
        <v>0</v>
      </c>
      <c r="V20" s="5" t="n">
        <v>1</v>
      </c>
      <c r="W20" s="6" t="n">
        <f aca="false">SUM(Q20:V20)</f>
        <v>20</v>
      </c>
      <c r="X20" s="4"/>
    </row>
    <row r="21" customFormat="false" ht="15" hidden="false" customHeight="false" outlineLevel="0" collapsed="false">
      <c r="A21" s="4" t="s">
        <v>1470</v>
      </c>
      <c r="B21" s="5" t="n">
        <v>9</v>
      </c>
      <c r="C21" s="5" t="n">
        <v>9</v>
      </c>
      <c r="D21" s="5" t="n">
        <v>8</v>
      </c>
      <c r="E21" s="5" t="n">
        <v>3</v>
      </c>
      <c r="F21" s="5" t="n">
        <v>0</v>
      </c>
      <c r="G21" s="5" t="n">
        <v>0</v>
      </c>
      <c r="H21" s="5" t="n">
        <v>0</v>
      </c>
      <c r="I21" s="6" t="n">
        <f aca="false">SUM(C21:H21)</f>
        <v>20</v>
      </c>
      <c r="J21" s="5" t="n">
        <v>5</v>
      </c>
      <c r="K21" s="5" t="n">
        <v>9</v>
      </c>
      <c r="L21" s="5" t="n">
        <v>5</v>
      </c>
      <c r="M21" s="5" t="n">
        <v>1</v>
      </c>
      <c r="N21" s="5" t="n">
        <v>0</v>
      </c>
      <c r="O21" s="5" t="n">
        <v>0</v>
      </c>
      <c r="P21" s="6" t="n">
        <f aca="false">SUM(J21:O21)</f>
        <v>20</v>
      </c>
      <c r="Q21" s="5" t="n">
        <v>4</v>
      </c>
      <c r="R21" s="5" t="n">
        <v>8</v>
      </c>
      <c r="S21" s="5" t="n">
        <v>5</v>
      </c>
      <c r="T21" s="5" t="n">
        <v>2</v>
      </c>
      <c r="U21" s="5" t="n">
        <v>0</v>
      </c>
      <c r="V21" s="5" t="n">
        <v>1</v>
      </c>
      <c r="W21" s="6" t="n">
        <f aca="false">SUM(Q21:V21)</f>
        <v>20</v>
      </c>
      <c r="X21" s="4"/>
    </row>
    <row r="22" customFormat="false" ht="23.85" hidden="false" customHeight="false" outlineLevel="0" collapsed="false">
      <c r="A22" s="4" t="s">
        <v>1553</v>
      </c>
      <c r="B22" s="5" t="n">
        <v>11</v>
      </c>
      <c r="C22" s="5" t="n">
        <v>7</v>
      </c>
      <c r="D22" s="5" t="n">
        <v>9</v>
      </c>
      <c r="E22" s="5" t="n">
        <v>3</v>
      </c>
      <c r="F22" s="5" t="n">
        <v>1</v>
      </c>
      <c r="G22" s="5" t="n">
        <v>0</v>
      </c>
      <c r="H22" s="5" t="n">
        <v>0</v>
      </c>
      <c r="I22" s="6" t="n">
        <f aca="false">SUM(C22:H22)</f>
        <v>20</v>
      </c>
      <c r="J22" s="5" t="n">
        <v>3</v>
      </c>
      <c r="K22" s="5" t="n">
        <v>10</v>
      </c>
      <c r="L22" s="5" t="n">
        <v>5</v>
      </c>
      <c r="M22" s="5" t="n">
        <v>2</v>
      </c>
      <c r="N22" s="5" t="n">
        <v>0</v>
      </c>
      <c r="O22" s="5" t="n">
        <v>0</v>
      </c>
      <c r="P22" s="6" t="n">
        <f aca="false">SUM(J22:O22)</f>
        <v>20</v>
      </c>
      <c r="Q22" s="5" t="n">
        <v>2</v>
      </c>
      <c r="R22" s="5" t="n">
        <v>8</v>
      </c>
      <c r="S22" s="5" t="n">
        <v>6</v>
      </c>
      <c r="T22" s="5" t="n">
        <v>2</v>
      </c>
      <c r="U22" s="5" t="n">
        <v>1</v>
      </c>
      <c r="V22" s="5" t="n">
        <v>1</v>
      </c>
      <c r="W22" s="6" t="n">
        <f aca="false">SUM(Q22:V22)</f>
        <v>20</v>
      </c>
      <c r="X22" s="4" t="s">
        <v>1705</v>
      </c>
    </row>
    <row r="23" customFormat="false" ht="15" hidden="false" customHeight="false" outlineLevel="0" collapsed="false">
      <c r="A23" s="4" t="s">
        <v>1637</v>
      </c>
      <c r="B23" s="5" t="n">
        <v>9</v>
      </c>
      <c r="C23" s="5" t="n">
        <v>9</v>
      </c>
      <c r="D23" s="5" t="n">
        <v>8</v>
      </c>
      <c r="E23" s="5" t="n">
        <v>3</v>
      </c>
      <c r="F23" s="5" t="n">
        <v>0</v>
      </c>
      <c r="G23" s="5" t="n">
        <v>0</v>
      </c>
      <c r="H23" s="5" t="n">
        <v>0</v>
      </c>
      <c r="I23" s="6" t="n">
        <f aca="false">SUM(C23:H23)</f>
        <v>20</v>
      </c>
      <c r="J23" s="5" t="n">
        <v>5</v>
      </c>
      <c r="K23" s="5" t="n">
        <v>9</v>
      </c>
      <c r="L23" s="5" t="n">
        <v>5</v>
      </c>
      <c r="M23" s="5" t="n">
        <v>1</v>
      </c>
      <c r="N23" s="5" t="n">
        <v>0</v>
      </c>
      <c r="O23" s="5" t="n">
        <v>0</v>
      </c>
      <c r="P23" s="6" t="n">
        <f aca="false">SUM(J23:O23)</f>
        <v>20</v>
      </c>
      <c r="Q23" s="5" t="n">
        <v>3</v>
      </c>
      <c r="R23" s="5" t="n">
        <v>8</v>
      </c>
      <c r="S23" s="5" t="n">
        <v>6</v>
      </c>
      <c r="T23" s="5" t="n">
        <v>2</v>
      </c>
      <c r="U23" s="5" t="n">
        <v>0</v>
      </c>
      <c r="V23" s="5" t="n">
        <v>1</v>
      </c>
      <c r="W23" s="6" t="n">
        <f aca="false">SUM(Q23:V23)</f>
        <v>20</v>
      </c>
      <c r="X23" s="4" t="s">
        <v>1706</v>
      </c>
    </row>
    <row r="24" customFormat="false" ht="15" hidden="false" customHeight="false" outlineLevel="0" collapsed="false">
      <c r="A24" s="4" t="s">
        <v>1707</v>
      </c>
      <c r="B24" s="5" t="n">
        <v>10</v>
      </c>
      <c r="C24" s="5" t="n">
        <v>7</v>
      </c>
      <c r="D24" s="5" t="n">
        <v>8</v>
      </c>
      <c r="E24" s="5" t="n">
        <v>4</v>
      </c>
      <c r="F24" s="5" t="n">
        <v>1</v>
      </c>
      <c r="G24" s="5" t="n">
        <v>0</v>
      </c>
      <c r="H24" s="5" t="n">
        <v>0</v>
      </c>
      <c r="I24" s="6" t="n">
        <f aca="false">SUM(C24:H24)</f>
        <v>20</v>
      </c>
      <c r="J24" s="5" t="n">
        <v>4</v>
      </c>
      <c r="K24" s="5" t="n">
        <v>8</v>
      </c>
      <c r="L24" s="5" t="n">
        <v>5</v>
      </c>
      <c r="M24" s="5" t="n">
        <v>2</v>
      </c>
      <c r="N24" s="5" t="n">
        <v>1</v>
      </c>
      <c r="O24" s="5" t="n">
        <v>0</v>
      </c>
      <c r="P24" s="6" t="n">
        <f aca="false">SUM(J24:O24)</f>
        <v>20</v>
      </c>
      <c r="Q24" s="5" t="n">
        <v>3</v>
      </c>
      <c r="R24" s="5" t="n">
        <v>5</v>
      </c>
      <c r="S24" s="5" t="n">
        <v>7</v>
      </c>
      <c r="T24" s="5" t="n">
        <v>3</v>
      </c>
      <c r="U24" s="5" t="n">
        <v>1</v>
      </c>
      <c r="V24" s="5" t="n">
        <v>1</v>
      </c>
      <c r="W24" s="6" t="n">
        <f aca="false">SUM(Q24:V24)</f>
        <v>20</v>
      </c>
      <c r="X24" s="4" t="s">
        <v>1708</v>
      </c>
    </row>
    <row r="25" customFormat="false" ht="23.85" hidden="false" customHeight="false" outlineLevel="0" collapsed="false">
      <c r="A25" s="4" t="s">
        <v>1709</v>
      </c>
      <c r="B25" s="5" t="n">
        <v>12</v>
      </c>
      <c r="C25" s="5" t="n">
        <v>5</v>
      </c>
      <c r="D25" s="5" t="n">
        <v>7</v>
      </c>
      <c r="E25" s="5" t="n">
        <v>6</v>
      </c>
      <c r="F25" s="5" t="n">
        <v>2</v>
      </c>
      <c r="G25" s="5" t="n">
        <v>0</v>
      </c>
      <c r="H25" s="5" t="n">
        <v>0</v>
      </c>
      <c r="I25" s="6" t="n">
        <f aca="false">SUM(C25:H25)</f>
        <v>20</v>
      </c>
      <c r="J25" s="5" t="n">
        <v>2</v>
      </c>
      <c r="K25" s="5" t="n">
        <v>7</v>
      </c>
      <c r="L25" s="5" t="n">
        <v>7</v>
      </c>
      <c r="M25" s="5" t="n">
        <v>3</v>
      </c>
      <c r="N25" s="5" t="n">
        <v>1</v>
      </c>
      <c r="O25" s="5" t="n">
        <v>0</v>
      </c>
      <c r="P25" s="6" t="n">
        <f aca="false">SUM(J25:O25)</f>
        <v>20</v>
      </c>
      <c r="Q25" s="5" t="n">
        <v>2</v>
      </c>
      <c r="R25" s="5" t="n">
        <v>4</v>
      </c>
      <c r="S25" s="5" t="n">
        <v>7</v>
      </c>
      <c r="T25" s="5" t="n">
        <v>4</v>
      </c>
      <c r="U25" s="5" t="n">
        <v>2</v>
      </c>
      <c r="V25" s="5" t="n">
        <v>1</v>
      </c>
      <c r="W25" s="6" t="n">
        <f aca="false">SUM(Q25:V25)</f>
        <v>20</v>
      </c>
      <c r="X25" s="4" t="s">
        <v>1710</v>
      </c>
    </row>
    <row r="27" customFormat="false" ht="15" hidden="false" customHeight="false" outlineLevel="0" collapsed="false">
      <c r="A27" s="7" t="s">
        <v>1711</v>
      </c>
    </row>
  </sheetData>
  <autoFilter ref="A1:X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2"/>
    <col collapsed="false" customWidth="true" hidden="false" outlineLevel="0" max="4" min="4" style="0" width="18"/>
    <col collapsed="false" customWidth="true" hidden="false" outlineLevel="0" max="5" min="5" style="0" width="40"/>
    <col collapsed="false" customWidth="true" hidden="false" outlineLevel="0" max="7" min="6" style="0" width="26"/>
    <col collapsed="false" customWidth="true" hidden="false" outlineLevel="0" max="9" min="8" style="0" width="44"/>
    <col collapsed="false" customWidth="true" hidden="false" outlineLevel="0" max="10" min="10" style="0" width="40"/>
  </cols>
  <sheetData>
    <row r="1" customFormat="false" ht="31.5" hidden="false" customHeight="true" outlineLevel="0" collapsed="false">
      <c r="A1" s="3" t="s">
        <v>11</v>
      </c>
      <c r="B1" s="3" t="s">
        <v>12</v>
      </c>
      <c r="C1" s="3" t="s">
        <v>13</v>
      </c>
      <c r="D1" s="3" t="s">
        <v>14</v>
      </c>
      <c r="E1" s="3" t="s">
        <v>1712</v>
      </c>
      <c r="F1" s="3" t="s">
        <v>1713</v>
      </c>
      <c r="G1" s="3" t="s">
        <v>1714</v>
      </c>
      <c r="H1" s="3" t="s">
        <v>1715</v>
      </c>
      <c r="I1" s="3" t="s">
        <v>1716</v>
      </c>
      <c r="J1" s="3" t="s">
        <v>1717</v>
      </c>
    </row>
    <row r="2" customFormat="false" ht="23.85" hidden="false" customHeight="false" outlineLevel="0" collapsed="false">
      <c r="A2" s="4" t="n">
        <v>1</v>
      </c>
      <c r="B2" s="4" t="s">
        <v>26</v>
      </c>
      <c r="C2" s="4" t="s">
        <v>27</v>
      </c>
      <c r="D2" s="4" t="s">
        <v>28</v>
      </c>
      <c r="E2" s="4" t="s">
        <v>1718</v>
      </c>
      <c r="F2" s="4" t="s">
        <v>1719</v>
      </c>
      <c r="G2" s="4"/>
      <c r="H2" s="4" t="s">
        <v>1720</v>
      </c>
      <c r="I2" s="4" t="s">
        <v>1721</v>
      </c>
      <c r="J2" s="4" t="s">
        <v>1722</v>
      </c>
    </row>
    <row r="3" customFormat="false" ht="46.25" hidden="false" customHeight="false" outlineLevel="0" collapsed="false">
      <c r="A3" s="4" t="n">
        <v>2</v>
      </c>
      <c r="B3" s="4" t="s">
        <v>85</v>
      </c>
      <c r="C3" s="4" t="s">
        <v>86</v>
      </c>
      <c r="D3" s="4" t="s">
        <v>28</v>
      </c>
      <c r="E3" s="4" t="s">
        <v>1723</v>
      </c>
      <c r="F3" s="4" t="s">
        <v>1724</v>
      </c>
      <c r="G3" s="4" t="s">
        <v>1725</v>
      </c>
      <c r="H3" s="4" t="s">
        <v>1726</v>
      </c>
      <c r="I3" s="4" t="s">
        <v>1727</v>
      </c>
      <c r="J3" s="4" t="s">
        <v>1728</v>
      </c>
    </row>
    <row r="4" customFormat="false" ht="35.05" hidden="false" customHeight="false" outlineLevel="0" collapsed="false">
      <c r="A4" s="4" t="n">
        <v>3</v>
      </c>
      <c r="B4" s="4" t="s">
        <v>123</v>
      </c>
      <c r="C4" s="4" t="s">
        <v>124</v>
      </c>
      <c r="D4" s="4" t="s">
        <v>125</v>
      </c>
      <c r="E4" s="4" t="s">
        <v>1729</v>
      </c>
      <c r="F4" s="4" t="s">
        <v>1730</v>
      </c>
      <c r="G4" s="4" t="s">
        <v>1731</v>
      </c>
      <c r="H4" s="4" t="s">
        <v>1732</v>
      </c>
      <c r="I4" s="4" t="s">
        <v>1733</v>
      </c>
      <c r="J4" s="4" t="s">
        <v>1734</v>
      </c>
    </row>
    <row r="5" customFormat="false" ht="23.85" hidden="false" customHeight="false" outlineLevel="0" collapsed="false">
      <c r="A5" s="4" t="n">
        <v>4</v>
      </c>
      <c r="B5" s="4" t="s">
        <v>179</v>
      </c>
      <c r="C5" s="4" t="s">
        <v>180</v>
      </c>
      <c r="D5" s="4" t="s">
        <v>125</v>
      </c>
      <c r="E5" s="4" t="s">
        <v>1735</v>
      </c>
      <c r="F5" s="4" t="s">
        <v>1719</v>
      </c>
      <c r="G5" s="4" t="s">
        <v>1736</v>
      </c>
      <c r="H5" s="4" t="s">
        <v>1737</v>
      </c>
      <c r="I5" s="4" t="s">
        <v>1738</v>
      </c>
      <c r="J5" s="4" t="s">
        <v>1739</v>
      </c>
    </row>
    <row r="6" customFormat="false" ht="35.05" hidden="false" customHeight="false" outlineLevel="0" collapsed="false">
      <c r="A6" s="4" t="n">
        <v>5</v>
      </c>
      <c r="B6" s="4" t="s">
        <v>201</v>
      </c>
      <c r="C6" s="4" t="s">
        <v>202</v>
      </c>
      <c r="D6" s="4" t="s">
        <v>203</v>
      </c>
      <c r="E6" s="4" t="s">
        <v>1740</v>
      </c>
      <c r="F6" s="4" t="s">
        <v>1741</v>
      </c>
      <c r="G6" s="4" t="s">
        <v>1742</v>
      </c>
      <c r="H6" s="4" t="s">
        <v>1743</v>
      </c>
      <c r="I6" s="4" t="s">
        <v>1744</v>
      </c>
      <c r="J6" s="4" t="s">
        <v>1745</v>
      </c>
    </row>
    <row r="7" customFormat="false" ht="35.05" hidden="false" customHeight="false" outlineLevel="0" collapsed="false">
      <c r="A7" s="4" t="n">
        <v>6</v>
      </c>
      <c r="B7" s="4" t="s">
        <v>254</v>
      </c>
      <c r="C7" s="4" t="s">
        <v>255</v>
      </c>
      <c r="D7" s="4" t="s">
        <v>256</v>
      </c>
      <c r="E7" s="4" t="s">
        <v>1746</v>
      </c>
      <c r="F7" s="4" t="s">
        <v>1719</v>
      </c>
      <c r="G7" s="4" t="s">
        <v>1747</v>
      </c>
      <c r="H7" s="4" t="s">
        <v>1748</v>
      </c>
      <c r="I7" s="4" t="s">
        <v>1749</v>
      </c>
      <c r="J7" s="4" t="s">
        <v>1747</v>
      </c>
    </row>
    <row r="8" customFormat="false" ht="23.85" hidden="false" customHeight="false" outlineLevel="0" collapsed="false">
      <c r="A8" s="4" t="n">
        <v>7</v>
      </c>
      <c r="B8" s="4" t="s">
        <v>254</v>
      </c>
      <c r="C8" s="4" t="s">
        <v>282</v>
      </c>
      <c r="D8" s="4" t="s">
        <v>283</v>
      </c>
      <c r="E8" s="4" t="s">
        <v>1750</v>
      </c>
      <c r="F8" s="4" t="s">
        <v>1751</v>
      </c>
      <c r="G8" s="4" t="s">
        <v>1752</v>
      </c>
      <c r="H8" s="4" t="s">
        <v>1753</v>
      </c>
      <c r="I8" s="4" t="s">
        <v>1754</v>
      </c>
      <c r="J8" s="4" t="s">
        <v>1755</v>
      </c>
    </row>
    <row r="9" customFormat="false" ht="23.85" hidden="false" customHeight="false" outlineLevel="0" collapsed="false">
      <c r="A9" s="4" t="n">
        <v>8</v>
      </c>
      <c r="B9" s="4" t="s">
        <v>304</v>
      </c>
      <c r="C9" s="4" t="s">
        <v>305</v>
      </c>
      <c r="D9" s="4" t="s">
        <v>306</v>
      </c>
      <c r="E9" s="4" t="s">
        <v>1756</v>
      </c>
      <c r="F9" s="4" t="s">
        <v>1757</v>
      </c>
      <c r="G9" s="4" t="s">
        <v>1758</v>
      </c>
      <c r="H9" s="4" t="s">
        <v>1759</v>
      </c>
      <c r="I9" s="4" t="s">
        <v>1760</v>
      </c>
      <c r="J9" s="4" t="s">
        <v>1761</v>
      </c>
    </row>
    <row r="10" customFormat="false" ht="35.05" hidden="false" customHeight="false" outlineLevel="0" collapsed="false">
      <c r="A10" s="4" t="n">
        <v>9</v>
      </c>
      <c r="B10" s="4" t="s">
        <v>359</v>
      </c>
      <c r="C10" s="4" t="s">
        <v>360</v>
      </c>
      <c r="D10" s="4" t="s">
        <v>361</v>
      </c>
      <c r="E10" s="4" t="s">
        <v>1762</v>
      </c>
      <c r="F10" s="4" t="s">
        <v>1763</v>
      </c>
      <c r="G10" s="4" t="s">
        <v>1764</v>
      </c>
      <c r="H10" s="4" t="s">
        <v>1765</v>
      </c>
      <c r="I10" s="4" t="s">
        <v>1766</v>
      </c>
      <c r="J10" s="4" t="s">
        <v>1767</v>
      </c>
    </row>
    <row r="11" customFormat="false" ht="35.05" hidden="false" customHeight="false" outlineLevel="0" collapsed="false">
      <c r="A11" s="4" t="n">
        <v>10</v>
      </c>
      <c r="B11" s="4" t="s">
        <v>430</v>
      </c>
      <c r="C11" s="4" t="s">
        <v>431</v>
      </c>
      <c r="D11" s="4" t="s">
        <v>432</v>
      </c>
      <c r="E11" s="4" t="s">
        <v>1768</v>
      </c>
      <c r="F11" s="4" t="s">
        <v>1769</v>
      </c>
      <c r="G11" s="4" t="s">
        <v>1770</v>
      </c>
      <c r="H11" s="4" t="s">
        <v>1771</v>
      </c>
      <c r="I11" s="4" t="s">
        <v>1772</v>
      </c>
      <c r="J11" s="4" t="s">
        <v>1773</v>
      </c>
    </row>
    <row r="12" customFormat="false" ht="15" hidden="false" customHeight="false" outlineLevel="0" collapsed="false">
      <c r="A12" s="4" t="n">
        <v>11</v>
      </c>
      <c r="B12" s="4" t="s">
        <v>489</v>
      </c>
      <c r="C12" s="4" t="s">
        <v>490</v>
      </c>
      <c r="D12" s="4" t="s">
        <v>432</v>
      </c>
      <c r="E12" s="4" t="s">
        <v>1774</v>
      </c>
      <c r="F12" s="4" t="s">
        <v>1775</v>
      </c>
      <c r="G12" s="4"/>
      <c r="H12" s="4" t="s">
        <v>1776</v>
      </c>
      <c r="I12" s="4" t="s">
        <v>1777</v>
      </c>
      <c r="J12" s="4" t="s">
        <v>1775</v>
      </c>
    </row>
    <row r="13" customFormat="false" ht="23.85" hidden="false" customHeight="false" outlineLevel="0" collapsed="false">
      <c r="A13" s="4" t="n">
        <v>12</v>
      </c>
      <c r="B13" s="4" t="s">
        <v>506</v>
      </c>
      <c r="C13" s="4" t="s">
        <v>507</v>
      </c>
      <c r="D13" s="4" t="s">
        <v>508</v>
      </c>
      <c r="E13" s="4" t="s">
        <v>1778</v>
      </c>
      <c r="F13" s="4" t="s">
        <v>1779</v>
      </c>
      <c r="G13" s="4" t="s">
        <v>1780</v>
      </c>
      <c r="H13" s="4" t="s">
        <v>1781</v>
      </c>
      <c r="I13" s="4" t="s">
        <v>1782</v>
      </c>
      <c r="J13" s="4" t="s">
        <v>1783</v>
      </c>
    </row>
    <row r="14" customFormat="false" ht="46.25" hidden="false" customHeight="false" outlineLevel="0" collapsed="false">
      <c r="A14" s="4" t="n">
        <v>13</v>
      </c>
      <c r="B14" s="4" t="s">
        <v>561</v>
      </c>
      <c r="C14" s="4" t="s">
        <v>562</v>
      </c>
      <c r="D14" s="4" t="s">
        <v>563</v>
      </c>
      <c r="E14" s="4" t="s">
        <v>1784</v>
      </c>
      <c r="F14" s="4" t="s">
        <v>1785</v>
      </c>
      <c r="G14" s="4" t="s">
        <v>1786</v>
      </c>
      <c r="H14" s="4" t="s">
        <v>1787</v>
      </c>
      <c r="I14" s="4" t="s">
        <v>1788</v>
      </c>
      <c r="J14" s="4" t="s">
        <v>1789</v>
      </c>
    </row>
    <row r="15" customFormat="false" ht="23.85" hidden="false" customHeight="false" outlineLevel="0" collapsed="false">
      <c r="A15" s="4" t="n">
        <v>14</v>
      </c>
      <c r="B15" s="4" t="s">
        <v>615</v>
      </c>
      <c r="C15" s="4" t="s">
        <v>616</v>
      </c>
      <c r="D15" s="4" t="s">
        <v>617</v>
      </c>
      <c r="E15" s="4" t="s">
        <v>1790</v>
      </c>
      <c r="F15" s="4" t="s">
        <v>1719</v>
      </c>
      <c r="G15" s="4" t="s">
        <v>1791</v>
      </c>
      <c r="H15" s="4" t="s">
        <v>1792</v>
      </c>
      <c r="I15" s="4" t="s">
        <v>1793</v>
      </c>
      <c r="J15" s="4" t="s">
        <v>1794</v>
      </c>
    </row>
    <row r="16" customFormat="false" ht="23.85" hidden="false" customHeight="false" outlineLevel="0" collapsed="false">
      <c r="A16" s="4" t="n">
        <v>15</v>
      </c>
      <c r="B16" s="4" t="s">
        <v>640</v>
      </c>
      <c r="C16" s="4" t="s">
        <v>641</v>
      </c>
      <c r="D16" s="4" t="s">
        <v>642</v>
      </c>
      <c r="E16" s="4" t="s">
        <v>1795</v>
      </c>
      <c r="F16" s="4" t="s">
        <v>1796</v>
      </c>
      <c r="G16" s="4" t="s">
        <v>1797</v>
      </c>
      <c r="H16" s="4" t="s">
        <v>1798</v>
      </c>
      <c r="I16" s="4" t="s">
        <v>1799</v>
      </c>
      <c r="J16" s="4" t="s">
        <v>1800</v>
      </c>
    </row>
    <row r="17" customFormat="false" ht="23.85" hidden="false" customHeight="false" outlineLevel="0" collapsed="false">
      <c r="A17" s="4" t="n">
        <v>16</v>
      </c>
      <c r="B17" s="4" t="s">
        <v>718</v>
      </c>
      <c r="C17" s="4" t="s">
        <v>719</v>
      </c>
      <c r="D17" s="4" t="s">
        <v>720</v>
      </c>
      <c r="E17" s="4" t="s">
        <v>1801</v>
      </c>
      <c r="F17" s="4" t="s">
        <v>1719</v>
      </c>
      <c r="G17" s="4" t="s">
        <v>1802</v>
      </c>
      <c r="H17" s="4" t="s">
        <v>1803</v>
      </c>
      <c r="I17" s="4" t="s">
        <v>1804</v>
      </c>
      <c r="J17" s="4" t="s">
        <v>1802</v>
      </c>
    </row>
    <row r="18" customFormat="false" ht="23.85" hidden="false" customHeight="false" outlineLevel="0" collapsed="false">
      <c r="A18" s="4" t="n">
        <v>17</v>
      </c>
      <c r="B18" s="4" t="s">
        <v>740</v>
      </c>
      <c r="C18" s="4" t="s">
        <v>741</v>
      </c>
      <c r="D18" s="4" t="s">
        <v>742</v>
      </c>
      <c r="E18" s="4" t="s">
        <v>1805</v>
      </c>
      <c r="F18" s="4" t="s">
        <v>1806</v>
      </c>
      <c r="G18" s="4" t="s">
        <v>1807</v>
      </c>
      <c r="H18" s="4" t="s">
        <v>1808</v>
      </c>
      <c r="I18" s="4" t="s">
        <v>1809</v>
      </c>
      <c r="J18" s="4" t="s">
        <v>1810</v>
      </c>
    </row>
    <row r="19" customFormat="false" ht="23.85" hidden="false" customHeight="false" outlineLevel="0" collapsed="false">
      <c r="A19" s="4" t="n">
        <v>18</v>
      </c>
      <c r="B19" s="4" t="s">
        <v>788</v>
      </c>
      <c r="C19" s="4" t="s">
        <v>789</v>
      </c>
      <c r="D19" s="4" t="s">
        <v>790</v>
      </c>
      <c r="E19" s="4" t="s">
        <v>1811</v>
      </c>
      <c r="F19" s="4" t="s">
        <v>1812</v>
      </c>
      <c r="G19" s="4" t="s">
        <v>1813</v>
      </c>
      <c r="H19" s="4" t="s">
        <v>1814</v>
      </c>
      <c r="I19" s="4" t="s">
        <v>1815</v>
      </c>
      <c r="J19" s="4" t="s">
        <v>1816</v>
      </c>
    </row>
    <row r="20" customFormat="false" ht="23.85" hidden="false" customHeight="false" outlineLevel="0" collapsed="false">
      <c r="A20" s="4" t="n">
        <v>19</v>
      </c>
      <c r="B20" s="4" t="s">
        <v>857</v>
      </c>
      <c r="C20" s="4" t="s">
        <v>858</v>
      </c>
      <c r="D20" s="4" t="s">
        <v>859</v>
      </c>
      <c r="E20" s="4" t="s">
        <v>1817</v>
      </c>
      <c r="F20" s="4" t="s">
        <v>1818</v>
      </c>
      <c r="G20" s="4" t="s">
        <v>1819</v>
      </c>
      <c r="H20" s="4" t="s">
        <v>1820</v>
      </c>
      <c r="I20" s="4" t="s">
        <v>1821</v>
      </c>
      <c r="J20" s="4" t="s">
        <v>1822</v>
      </c>
    </row>
    <row r="21" customFormat="false" ht="23.85" hidden="false" customHeight="false" outlineLevel="0" collapsed="false">
      <c r="A21" s="4" t="n">
        <v>20</v>
      </c>
      <c r="B21" s="4" t="s">
        <v>893</v>
      </c>
      <c r="C21" s="4" t="s">
        <v>894</v>
      </c>
      <c r="D21" s="4" t="s">
        <v>895</v>
      </c>
      <c r="E21" s="4" t="s">
        <v>1823</v>
      </c>
      <c r="F21" s="4" t="s">
        <v>1824</v>
      </c>
      <c r="G21" s="4" t="s">
        <v>1825</v>
      </c>
      <c r="H21" s="4" t="s">
        <v>1826</v>
      </c>
      <c r="I21" s="4" t="s">
        <v>1827</v>
      </c>
      <c r="J21" s="4" t="s">
        <v>1828</v>
      </c>
    </row>
    <row r="22" customFormat="false" ht="23.85" hidden="false" customHeight="false" outlineLevel="0" collapsed="false">
      <c r="A22" s="4" t="n">
        <v>21</v>
      </c>
      <c r="B22" s="4" t="s">
        <v>946</v>
      </c>
      <c r="C22" s="4" t="s">
        <v>947</v>
      </c>
      <c r="D22" s="4" t="s">
        <v>895</v>
      </c>
      <c r="E22" s="4" t="s">
        <v>1829</v>
      </c>
      <c r="F22" s="4" t="s">
        <v>1719</v>
      </c>
      <c r="G22" s="4"/>
      <c r="H22" s="4" t="s">
        <v>1830</v>
      </c>
      <c r="I22" s="4" t="s">
        <v>1831</v>
      </c>
      <c r="J22" s="4"/>
    </row>
    <row r="23" customFormat="false" ht="23.85" hidden="false" customHeight="false" outlineLevel="0" collapsed="false">
      <c r="A23" s="4" t="n">
        <v>22</v>
      </c>
      <c r="B23" s="4" t="s">
        <v>963</v>
      </c>
      <c r="C23" s="4" t="s">
        <v>964</v>
      </c>
      <c r="D23" s="4" t="s">
        <v>965</v>
      </c>
      <c r="E23" s="4" t="s">
        <v>1832</v>
      </c>
      <c r="F23" s="4" t="s">
        <v>1833</v>
      </c>
      <c r="G23" s="4" t="s">
        <v>1834</v>
      </c>
      <c r="H23" s="4" t="s">
        <v>1835</v>
      </c>
      <c r="I23" s="4" t="s">
        <v>1836</v>
      </c>
      <c r="J23" s="4" t="s">
        <v>1837</v>
      </c>
    </row>
    <row r="24" customFormat="false" ht="23.85" hidden="false" customHeight="false" outlineLevel="0" collapsed="false">
      <c r="A24" s="4" t="n">
        <v>23</v>
      </c>
      <c r="B24" s="4" t="s">
        <v>1028</v>
      </c>
      <c r="C24" s="4" t="s">
        <v>1029</v>
      </c>
      <c r="D24" s="4" t="s">
        <v>1030</v>
      </c>
      <c r="E24" s="4" t="s">
        <v>1838</v>
      </c>
      <c r="F24" s="4" t="s">
        <v>1839</v>
      </c>
      <c r="G24" s="4" t="s">
        <v>1840</v>
      </c>
      <c r="H24" s="4" t="s">
        <v>1841</v>
      </c>
      <c r="I24" s="4" t="s">
        <v>1842</v>
      </c>
      <c r="J24" s="4" t="s">
        <v>1843</v>
      </c>
    </row>
    <row r="25" customFormat="false" ht="23.85" hidden="false" customHeight="false" outlineLevel="0" collapsed="false">
      <c r="A25" s="4" t="n">
        <v>24</v>
      </c>
      <c r="B25" s="4" t="s">
        <v>1097</v>
      </c>
      <c r="C25" s="4" t="s">
        <v>1098</v>
      </c>
      <c r="D25" s="4" t="s">
        <v>1099</v>
      </c>
      <c r="E25" s="4" t="s">
        <v>1844</v>
      </c>
      <c r="F25" s="4" t="s">
        <v>1845</v>
      </c>
      <c r="G25" s="4" t="s">
        <v>1846</v>
      </c>
      <c r="H25" s="4" t="s">
        <v>1847</v>
      </c>
      <c r="I25" s="4" t="s">
        <v>1848</v>
      </c>
      <c r="J25" s="4" t="s">
        <v>1849</v>
      </c>
    </row>
    <row r="26" customFormat="false" ht="23.85" hidden="false" customHeight="false" outlineLevel="0" collapsed="false">
      <c r="A26" s="4" t="n">
        <v>25</v>
      </c>
      <c r="B26" s="4" t="s">
        <v>1137</v>
      </c>
      <c r="C26" s="4" t="s">
        <v>1138</v>
      </c>
      <c r="D26" s="4" t="s">
        <v>1139</v>
      </c>
      <c r="E26" s="4" t="s">
        <v>1850</v>
      </c>
      <c r="F26" s="4" t="s">
        <v>1719</v>
      </c>
      <c r="G26" s="4" t="s">
        <v>1851</v>
      </c>
      <c r="H26" s="4" t="s">
        <v>1852</v>
      </c>
      <c r="I26" s="4" t="s">
        <v>1853</v>
      </c>
      <c r="J26" s="4" t="s">
        <v>1854</v>
      </c>
    </row>
    <row r="27" customFormat="false" ht="23.85" hidden="false" customHeight="false" outlineLevel="0" collapsed="false">
      <c r="A27" s="4" t="n">
        <v>26</v>
      </c>
      <c r="B27" s="4" t="s">
        <v>1180</v>
      </c>
      <c r="C27" s="4" t="s">
        <v>1181</v>
      </c>
      <c r="D27" s="4" t="s">
        <v>1182</v>
      </c>
      <c r="E27" s="4" t="s">
        <v>1855</v>
      </c>
      <c r="F27" s="4" t="s">
        <v>1856</v>
      </c>
      <c r="G27" s="4" t="s">
        <v>1857</v>
      </c>
      <c r="H27" s="4" t="s">
        <v>1858</v>
      </c>
      <c r="I27" s="4" t="s">
        <v>1859</v>
      </c>
      <c r="J27" s="4" t="s">
        <v>1860</v>
      </c>
    </row>
    <row r="28" customFormat="false" ht="35.05" hidden="false" customHeight="false" outlineLevel="0" collapsed="false">
      <c r="A28" s="4" t="n">
        <v>27</v>
      </c>
      <c r="B28" s="4" t="s">
        <v>1265</v>
      </c>
      <c r="C28" s="4" t="s">
        <v>1266</v>
      </c>
      <c r="D28" s="4" t="s">
        <v>1267</v>
      </c>
      <c r="E28" s="4" t="s">
        <v>1861</v>
      </c>
      <c r="F28" s="4" t="s">
        <v>1862</v>
      </c>
      <c r="G28" s="4" t="s">
        <v>1863</v>
      </c>
      <c r="H28" s="4" t="s">
        <v>1864</v>
      </c>
      <c r="I28" s="4" t="s">
        <v>1865</v>
      </c>
      <c r="J28" s="4" t="s">
        <v>1866</v>
      </c>
    </row>
    <row r="29" customFormat="false" ht="23.85" hidden="false" customHeight="false" outlineLevel="0" collapsed="false">
      <c r="A29" s="4" t="n">
        <v>28</v>
      </c>
      <c r="B29" s="4" t="s">
        <v>1318</v>
      </c>
      <c r="C29" s="4" t="s">
        <v>1319</v>
      </c>
      <c r="D29" s="4" t="s">
        <v>1320</v>
      </c>
      <c r="E29" s="4" t="s">
        <v>1867</v>
      </c>
      <c r="F29" s="4" t="s">
        <v>1868</v>
      </c>
      <c r="G29" s="4"/>
      <c r="H29" s="4" t="s">
        <v>1869</v>
      </c>
      <c r="I29" s="4" t="s">
        <v>1870</v>
      </c>
      <c r="J29" s="4" t="s">
        <v>1871</v>
      </c>
    </row>
    <row r="30" customFormat="false" ht="15" hidden="false" customHeight="false" outlineLevel="0" collapsed="false">
      <c r="A30" s="4" t="n">
        <v>29</v>
      </c>
      <c r="B30" s="4" t="s">
        <v>1375</v>
      </c>
      <c r="C30" s="4" t="s">
        <v>1376</v>
      </c>
      <c r="D30" s="4" t="s">
        <v>1377</v>
      </c>
      <c r="E30" s="4" t="s">
        <v>1872</v>
      </c>
      <c r="F30" s="4" t="s">
        <v>1719</v>
      </c>
      <c r="G30" s="4"/>
      <c r="H30" s="4" t="s">
        <v>1873</v>
      </c>
      <c r="I30" s="4" t="s">
        <v>1874</v>
      </c>
      <c r="J30" s="4"/>
    </row>
    <row r="31" customFormat="false" ht="23.85" hidden="false" customHeight="false" outlineLevel="0" collapsed="false">
      <c r="A31" s="4" t="n">
        <v>30</v>
      </c>
      <c r="B31" s="4" t="s">
        <v>26</v>
      </c>
      <c r="C31" s="4" t="s">
        <v>1388</v>
      </c>
      <c r="D31" s="4" t="s">
        <v>1030</v>
      </c>
      <c r="E31" s="4" t="s">
        <v>1875</v>
      </c>
      <c r="F31" s="4" t="s">
        <v>1876</v>
      </c>
      <c r="G31" s="4" t="s">
        <v>1877</v>
      </c>
      <c r="H31" s="4" t="s">
        <v>1878</v>
      </c>
      <c r="I31" s="4" t="s">
        <v>1879</v>
      </c>
      <c r="J31" s="4" t="s">
        <v>1880</v>
      </c>
    </row>
    <row r="32" customFormat="false" ht="23.85" hidden="false" customHeight="false" outlineLevel="0" collapsed="false">
      <c r="A32" s="4" t="n">
        <v>31</v>
      </c>
      <c r="B32" s="4" t="s">
        <v>1416</v>
      </c>
      <c r="C32" s="4" t="s">
        <v>1417</v>
      </c>
      <c r="D32" s="4" t="s">
        <v>1418</v>
      </c>
      <c r="E32" s="4" t="s">
        <v>1881</v>
      </c>
      <c r="F32" s="4" t="s">
        <v>1882</v>
      </c>
      <c r="G32" s="4" t="s">
        <v>1883</v>
      </c>
      <c r="H32" s="4" t="s">
        <v>1884</v>
      </c>
      <c r="I32" s="4" t="s">
        <v>1885</v>
      </c>
      <c r="J32" s="4" t="s">
        <v>1886</v>
      </c>
    </row>
    <row r="33" customFormat="false" ht="23.85" hidden="false" customHeight="false" outlineLevel="0" collapsed="false">
      <c r="A33" s="4" t="n">
        <v>32</v>
      </c>
      <c r="B33" s="4" t="s">
        <v>1470</v>
      </c>
      <c r="C33" s="4" t="s">
        <v>1471</v>
      </c>
      <c r="D33" s="4" t="s">
        <v>1472</v>
      </c>
      <c r="E33" s="4" t="s">
        <v>1887</v>
      </c>
      <c r="F33" s="4" t="s">
        <v>1888</v>
      </c>
      <c r="G33" s="4" t="s">
        <v>1889</v>
      </c>
      <c r="H33" s="4" t="s">
        <v>1890</v>
      </c>
      <c r="I33" s="4" t="s">
        <v>1891</v>
      </c>
      <c r="J33" s="4" t="s">
        <v>1892</v>
      </c>
    </row>
    <row r="34" customFormat="false" ht="23.85" hidden="false" customHeight="false" outlineLevel="0" collapsed="false">
      <c r="A34" s="4" t="n">
        <v>33</v>
      </c>
      <c r="B34" s="4" t="s">
        <v>1528</v>
      </c>
      <c r="C34" s="4" t="s">
        <v>1529</v>
      </c>
      <c r="D34" s="4" t="s">
        <v>1530</v>
      </c>
      <c r="E34" s="4" t="s">
        <v>1893</v>
      </c>
      <c r="F34" s="4" t="s">
        <v>1894</v>
      </c>
      <c r="G34" s="4" t="s">
        <v>1895</v>
      </c>
      <c r="H34" s="4" t="s">
        <v>1896</v>
      </c>
      <c r="I34" s="4" t="s">
        <v>1897</v>
      </c>
      <c r="J34" s="4" t="s">
        <v>1898</v>
      </c>
    </row>
    <row r="35" customFormat="false" ht="23.85" hidden="false" customHeight="false" outlineLevel="0" collapsed="false">
      <c r="A35" s="4" t="n">
        <v>34</v>
      </c>
      <c r="B35" s="4" t="s">
        <v>1553</v>
      </c>
      <c r="C35" s="4" t="s">
        <v>1554</v>
      </c>
      <c r="D35" s="4" t="s">
        <v>1555</v>
      </c>
      <c r="E35" s="4" t="s">
        <v>1899</v>
      </c>
      <c r="F35" s="4" t="s">
        <v>1900</v>
      </c>
      <c r="G35" s="4" t="s">
        <v>1901</v>
      </c>
      <c r="H35" s="4" t="s">
        <v>1902</v>
      </c>
      <c r="I35" s="4" t="s">
        <v>1903</v>
      </c>
      <c r="J35" s="4" t="s">
        <v>1904</v>
      </c>
    </row>
    <row r="36" customFormat="false" ht="23.85" hidden="false" customHeight="false" outlineLevel="0" collapsed="false">
      <c r="A36" s="4" t="n">
        <v>35</v>
      </c>
      <c r="B36" s="4" t="s">
        <v>1601</v>
      </c>
      <c r="C36" s="4" t="s">
        <v>1602</v>
      </c>
      <c r="D36" s="4" t="s">
        <v>1603</v>
      </c>
      <c r="E36" s="4" t="s">
        <v>1905</v>
      </c>
      <c r="F36" s="4" t="s">
        <v>1719</v>
      </c>
      <c r="G36" s="4"/>
      <c r="H36" s="4" t="s">
        <v>1906</v>
      </c>
      <c r="I36" s="4" t="s">
        <v>1907</v>
      </c>
      <c r="J36" s="4"/>
    </row>
    <row r="37" customFormat="false" ht="23.85" hidden="false" customHeight="false" outlineLevel="0" collapsed="false">
      <c r="A37" s="4" t="n">
        <v>36</v>
      </c>
      <c r="B37" s="4" t="s">
        <v>1601</v>
      </c>
      <c r="C37" s="4" t="s">
        <v>1619</v>
      </c>
      <c r="D37" s="4" t="s">
        <v>1620</v>
      </c>
      <c r="E37" s="4" t="s">
        <v>1908</v>
      </c>
      <c r="F37" s="4" t="s">
        <v>1719</v>
      </c>
      <c r="G37" s="4" t="s">
        <v>1909</v>
      </c>
      <c r="H37" s="4" t="s">
        <v>1910</v>
      </c>
      <c r="I37" s="4" t="s">
        <v>1911</v>
      </c>
      <c r="J37" s="4" t="s">
        <v>1909</v>
      </c>
    </row>
    <row r="38" customFormat="false" ht="23.85" hidden="false" customHeight="false" outlineLevel="0" collapsed="false">
      <c r="A38" s="4" t="n">
        <v>37</v>
      </c>
      <c r="B38" s="4" t="s">
        <v>1637</v>
      </c>
      <c r="C38" s="4" t="s">
        <v>1638</v>
      </c>
      <c r="D38" s="4" t="s">
        <v>1639</v>
      </c>
      <c r="E38" s="4" t="s">
        <v>1912</v>
      </c>
      <c r="F38" s="4" t="s">
        <v>1913</v>
      </c>
      <c r="G38" s="4" t="s">
        <v>1914</v>
      </c>
      <c r="H38" s="4" t="s">
        <v>1915</v>
      </c>
      <c r="I38" s="4" t="s">
        <v>1916</v>
      </c>
      <c r="J38" s="4" t="s">
        <v>1917</v>
      </c>
    </row>
    <row r="39" customFormat="false" ht="23.85" hidden="false" customHeight="false" outlineLevel="0" collapsed="false">
      <c r="A39" s="4"/>
      <c r="B39" s="4" t="s">
        <v>1918</v>
      </c>
      <c r="C39" s="4" t="s">
        <v>1919</v>
      </c>
      <c r="D39" s="4" t="s">
        <v>1920</v>
      </c>
      <c r="E39" s="4" t="s">
        <v>1921</v>
      </c>
      <c r="F39" s="4" t="s">
        <v>1922</v>
      </c>
      <c r="G39" s="4" t="s">
        <v>1923</v>
      </c>
      <c r="H39" s="4" t="s">
        <v>1924</v>
      </c>
      <c r="I39" s="4"/>
      <c r="J39" s="4"/>
    </row>
    <row r="40" customFormat="false" ht="23.85" hidden="false" customHeight="false" outlineLevel="0" collapsed="false">
      <c r="A40" s="4"/>
      <c r="B40" s="4" t="s">
        <v>1925</v>
      </c>
      <c r="C40" s="4" t="s">
        <v>1919</v>
      </c>
      <c r="D40" s="4" t="s">
        <v>1926</v>
      </c>
      <c r="E40" s="4" t="s">
        <v>1927</v>
      </c>
      <c r="F40" s="4" t="s">
        <v>1928</v>
      </c>
      <c r="G40" s="4" t="s">
        <v>1929</v>
      </c>
      <c r="H40" s="4" t="s">
        <v>1930</v>
      </c>
      <c r="I40" s="4"/>
      <c r="J40" s="4"/>
    </row>
    <row r="41" customFormat="false" ht="23.85" hidden="false" customHeight="false" outlineLevel="0" collapsed="false">
      <c r="A41" s="4"/>
      <c r="B41" s="4" t="s">
        <v>1931</v>
      </c>
      <c r="C41" s="4" t="s">
        <v>1932</v>
      </c>
      <c r="D41" s="4" t="s">
        <v>1933</v>
      </c>
      <c r="E41" s="4" t="s">
        <v>1934</v>
      </c>
      <c r="F41" s="4" t="s">
        <v>1932</v>
      </c>
      <c r="G41" s="4"/>
      <c r="H41" s="4" t="s">
        <v>1935</v>
      </c>
      <c r="I41" s="4"/>
      <c r="J41" s="4"/>
    </row>
    <row r="42" customFormat="false" ht="23.85" hidden="false" customHeight="false" outlineLevel="0" collapsed="false">
      <c r="A42" s="4"/>
      <c r="B42" s="4" t="s">
        <v>1931</v>
      </c>
      <c r="C42" s="4" t="s">
        <v>1936</v>
      </c>
      <c r="D42" s="4" t="s">
        <v>1933</v>
      </c>
      <c r="E42" s="4" t="s">
        <v>1937</v>
      </c>
      <c r="F42" s="4" t="s">
        <v>1936</v>
      </c>
      <c r="G42" s="4"/>
      <c r="H42" s="4" t="s">
        <v>1938</v>
      </c>
      <c r="I42" s="4"/>
      <c r="J42" s="4"/>
    </row>
    <row r="43" customFormat="false" ht="23.85" hidden="false" customHeight="false" outlineLevel="0" collapsed="false">
      <c r="A43" s="4"/>
      <c r="B43" s="4" t="s">
        <v>1931</v>
      </c>
      <c r="C43" s="4" t="s">
        <v>1164</v>
      </c>
      <c r="D43" s="4" t="s">
        <v>1933</v>
      </c>
      <c r="E43" s="4" t="s">
        <v>1163</v>
      </c>
      <c r="F43" s="4" t="s">
        <v>1164</v>
      </c>
      <c r="G43" s="4"/>
      <c r="H43" s="4" t="s">
        <v>1939</v>
      </c>
      <c r="I43" s="4"/>
      <c r="J43" s="4"/>
    </row>
    <row r="44" customFormat="false" ht="23.85" hidden="false" customHeight="false" outlineLevel="0" collapsed="false">
      <c r="A44" s="4"/>
      <c r="B44" s="4" t="s">
        <v>1931</v>
      </c>
      <c r="C44" s="4" t="s">
        <v>1940</v>
      </c>
      <c r="D44" s="4" t="s">
        <v>1933</v>
      </c>
      <c r="E44" s="4" t="s">
        <v>1153</v>
      </c>
      <c r="F44" s="4" t="s">
        <v>1940</v>
      </c>
      <c r="G44" s="4"/>
      <c r="H44" s="4" t="s">
        <v>1939</v>
      </c>
      <c r="I44" s="4"/>
      <c r="J44" s="4"/>
    </row>
    <row r="45" customFormat="false" ht="23.85" hidden="false" customHeight="false" outlineLevel="0" collapsed="false">
      <c r="A45" s="4"/>
      <c r="B45" s="4" t="s">
        <v>1931</v>
      </c>
      <c r="C45" s="4" t="s">
        <v>1159</v>
      </c>
      <c r="D45" s="4" t="s">
        <v>1933</v>
      </c>
      <c r="E45" s="4" t="s">
        <v>1158</v>
      </c>
      <c r="F45" s="4" t="s">
        <v>1159</v>
      </c>
      <c r="G45" s="4"/>
      <c r="H45" s="4" t="s">
        <v>1939</v>
      </c>
      <c r="I45" s="4"/>
      <c r="J45" s="4"/>
    </row>
    <row r="46" customFormat="false" ht="23.85" hidden="false" customHeight="false" outlineLevel="0" collapsed="false">
      <c r="A46" s="4"/>
      <c r="B46" s="4" t="s">
        <v>1931</v>
      </c>
      <c r="C46" s="4" t="s">
        <v>1941</v>
      </c>
      <c r="D46" s="4" t="s">
        <v>1933</v>
      </c>
      <c r="E46" s="4" t="s">
        <v>1121</v>
      </c>
      <c r="F46" s="4" t="s">
        <v>1941</v>
      </c>
      <c r="G46" s="4"/>
      <c r="H46" s="4" t="s">
        <v>1942</v>
      </c>
      <c r="I46" s="4"/>
      <c r="J46" s="4"/>
    </row>
    <row r="47" customFormat="false" ht="15" hidden="false" customHeight="false" outlineLevel="0" collapsed="false">
      <c r="A47" s="4"/>
      <c r="B47" s="4" t="s">
        <v>1931</v>
      </c>
      <c r="C47" s="4" t="s">
        <v>1943</v>
      </c>
      <c r="D47" s="4" t="s">
        <v>1933</v>
      </c>
      <c r="E47" s="4" t="s">
        <v>1944</v>
      </c>
      <c r="F47" s="4" t="s">
        <v>1943</v>
      </c>
      <c r="G47" s="4"/>
      <c r="H47" s="4" t="s">
        <v>1945</v>
      </c>
      <c r="I47" s="4"/>
      <c r="J47" s="4"/>
    </row>
    <row r="48" customFormat="false" ht="23.85" hidden="false" customHeight="false" outlineLevel="0" collapsed="false">
      <c r="A48" s="4"/>
      <c r="B48" s="4" t="s">
        <v>1931</v>
      </c>
      <c r="C48" s="4" t="s">
        <v>115</v>
      </c>
      <c r="D48" s="4" t="s">
        <v>1933</v>
      </c>
      <c r="E48" s="4" t="s">
        <v>113</v>
      </c>
      <c r="F48" s="4" t="s">
        <v>115</v>
      </c>
      <c r="G48" s="4"/>
      <c r="H48" s="4" t="s">
        <v>1946</v>
      </c>
      <c r="I48" s="4"/>
      <c r="J48" s="4"/>
    </row>
    <row r="49" customFormat="false" ht="15" hidden="false" customHeight="false" outlineLevel="0" collapsed="false">
      <c r="A49" s="4"/>
      <c r="B49" s="4" t="s">
        <v>1931</v>
      </c>
      <c r="C49" s="4" t="s">
        <v>1947</v>
      </c>
      <c r="D49" s="4" t="s">
        <v>1933</v>
      </c>
      <c r="E49" s="4" t="s">
        <v>1948</v>
      </c>
      <c r="F49" s="4" t="s">
        <v>1947</v>
      </c>
      <c r="G49" s="4"/>
      <c r="H49" s="4" t="s">
        <v>1949</v>
      </c>
      <c r="I49" s="4"/>
      <c r="J49" s="4"/>
    </row>
    <row r="50" customFormat="false" ht="23.85" hidden="false" customHeight="false" outlineLevel="0" collapsed="false">
      <c r="A50" s="4"/>
      <c r="B50" s="4" t="s">
        <v>1931</v>
      </c>
      <c r="C50" s="4" t="s">
        <v>1950</v>
      </c>
      <c r="D50" s="4" t="s">
        <v>1933</v>
      </c>
      <c r="E50" s="4" t="s">
        <v>1951</v>
      </c>
      <c r="F50" s="4" t="s">
        <v>1950</v>
      </c>
      <c r="G50" s="4"/>
      <c r="H50" s="4" t="s">
        <v>1952</v>
      </c>
      <c r="I50" s="4"/>
      <c r="J50" s="4"/>
    </row>
    <row r="51" customFormat="false" ht="15" hidden="false" customHeight="false" outlineLevel="0" collapsed="false">
      <c r="A51" s="4"/>
      <c r="B51" s="4" t="s">
        <v>1931</v>
      </c>
      <c r="C51" s="4" t="s">
        <v>1953</v>
      </c>
      <c r="D51" s="4" t="s">
        <v>1933</v>
      </c>
      <c r="E51" s="4" t="s">
        <v>1954</v>
      </c>
      <c r="F51" s="4" t="s">
        <v>1953</v>
      </c>
      <c r="G51" s="4"/>
      <c r="H51" s="4" t="s">
        <v>1955</v>
      </c>
      <c r="I51" s="4"/>
      <c r="J51" s="4"/>
    </row>
    <row r="52" customFormat="false" ht="23.85" hidden="false" customHeight="false" outlineLevel="0" collapsed="false">
      <c r="A52" s="4"/>
      <c r="B52" s="4" t="s">
        <v>1931</v>
      </c>
      <c r="C52" s="4" t="s">
        <v>1956</v>
      </c>
      <c r="D52" s="4" t="s">
        <v>1933</v>
      </c>
      <c r="E52" s="4" t="s">
        <v>1937</v>
      </c>
      <c r="F52" s="4" t="s">
        <v>1956</v>
      </c>
      <c r="G52" s="4"/>
      <c r="H52" s="4" t="s">
        <v>1957</v>
      </c>
      <c r="I52" s="4"/>
      <c r="J52" s="4"/>
    </row>
    <row r="53" customFormat="false" ht="23.85" hidden="false" customHeight="false" outlineLevel="0" collapsed="false">
      <c r="A53" s="4"/>
      <c r="B53" s="4" t="s">
        <v>1931</v>
      </c>
      <c r="C53" s="4" t="s">
        <v>1958</v>
      </c>
      <c r="D53" s="4" t="s">
        <v>1933</v>
      </c>
      <c r="E53" s="4" t="s">
        <v>1937</v>
      </c>
      <c r="F53" s="4" t="s">
        <v>1958</v>
      </c>
      <c r="G53" s="4"/>
      <c r="H53" s="4" t="s">
        <v>1959</v>
      </c>
      <c r="I53" s="4"/>
      <c r="J53" s="4"/>
    </row>
    <row r="54" customFormat="false" ht="23.85" hidden="false" customHeight="false" outlineLevel="0" collapsed="false">
      <c r="A54" s="4"/>
      <c r="B54" s="4" t="s">
        <v>1931</v>
      </c>
      <c r="C54" s="4" t="s">
        <v>1960</v>
      </c>
      <c r="D54" s="4" t="s">
        <v>1933</v>
      </c>
      <c r="E54" s="4" t="s">
        <v>1937</v>
      </c>
      <c r="F54" s="4" t="s">
        <v>1960</v>
      </c>
      <c r="G54" s="4"/>
      <c r="H54" s="4" t="s">
        <v>1961</v>
      </c>
      <c r="I54" s="4"/>
      <c r="J54" s="4"/>
    </row>
    <row r="55" customFormat="false" ht="15" hidden="false" customHeight="false" outlineLevel="0" collapsed="false">
      <c r="A55" s="4"/>
      <c r="B55" s="4" t="s">
        <v>1931</v>
      </c>
      <c r="C55" s="4" t="s">
        <v>1962</v>
      </c>
      <c r="D55" s="4" t="s">
        <v>1933</v>
      </c>
      <c r="E55" s="4" t="s">
        <v>583</v>
      </c>
      <c r="F55" s="4" t="s">
        <v>1962</v>
      </c>
      <c r="G55" s="4"/>
      <c r="H55" s="4" t="s">
        <v>1963</v>
      </c>
      <c r="I55" s="4"/>
      <c r="J55" s="4"/>
    </row>
    <row r="56" customFormat="false" ht="23.85" hidden="false" customHeight="false" outlineLevel="0" collapsed="false">
      <c r="A56" s="4"/>
      <c r="B56" s="4" t="s">
        <v>1931</v>
      </c>
      <c r="C56" s="4" t="s">
        <v>1964</v>
      </c>
      <c r="D56" s="4" t="s">
        <v>1933</v>
      </c>
      <c r="E56" s="4" t="s">
        <v>703</v>
      </c>
      <c r="F56" s="4" t="s">
        <v>1964</v>
      </c>
      <c r="G56" s="4"/>
      <c r="H56" s="4" t="s">
        <v>1965</v>
      </c>
      <c r="I56" s="4"/>
      <c r="J56" s="4"/>
    </row>
  </sheetData>
  <autoFilter ref="A1:J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8"/>
    <col collapsed="false" customWidth="true" hidden="false" outlineLevel="0" max="16" min="4" style="0" width="11"/>
  </cols>
  <sheetData>
    <row r="1" customFormat="false" ht="31.5" hidden="false" customHeight="true" outlineLevel="0" collapsed="false">
      <c r="A1" s="3" t="s">
        <v>12</v>
      </c>
      <c r="B1" s="3" t="s">
        <v>13</v>
      </c>
      <c r="C1" s="3" t="s">
        <v>14</v>
      </c>
      <c r="D1" s="3" t="s">
        <v>1676</v>
      </c>
      <c r="E1" s="3" t="s">
        <v>1966</v>
      </c>
      <c r="F1" s="3" t="s">
        <v>1967</v>
      </c>
      <c r="G1" s="3" t="s">
        <v>1968</v>
      </c>
      <c r="H1" s="3" t="s">
        <v>1969</v>
      </c>
      <c r="I1" s="3" t="s">
        <v>1970</v>
      </c>
      <c r="J1" s="3" t="s">
        <v>1971</v>
      </c>
      <c r="K1" s="3" t="s">
        <v>1972</v>
      </c>
      <c r="L1" s="3" t="s">
        <v>1973</v>
      </c>
      <c r="M1" s="3" t="s">
        <v>1974</v>
      </c>
      <c r="N1" s="3" t="s">
        <v>1975</v>
      </c>
      <c r="O1" s="3" t="s">
        <v>1976</v>
      </c>
      <c r="P1" s="3" t="s">
        <v>21</v>
      </c>
    </row>
    <row r="2" customFormat="false" ht="15" hidden="false" customHeight="false" outlineLevel="0" collapsed="false">
      <c r="A2" s="4" t="s">
        <v>26</v>
      </c>
      <c r="B2" s="4" t="s">
        <v>27</v>
      </c>
      <c r="C2" s="4" t="s">
        <v>28</v>
      </c>
      <c r="D2" s="4" t="n">
        <v>5</v>
      </c>
      <c r="E2" s="4" t="n">
        <v>5</v>
      </c>
      <c r="F2" s="4" t="n">
        <f aca="false">COUNTIFS(Placement!$C:$C,$B2)</f>
        <v>12</v>
      </c>
      <c r="G2" s="4" t="n">
        <f aca="false">COUNTIFS(Placement!$C:$C,$B2,Placement!$L:$L,"Yes")</f>
        <v>12</v>
      </c>
      <c r="H2" s="4" t="n">
        <f aca="false">F2-G2</f>
        <v>0</v>
      </c>
      <c r="I2" s="4" t="n">
        <f aca="false">COUNTIFS(Placement!$C:$C,$B2,Placement!$M:$M,"Yes")</f>
        <v>0</v>
      </c>
      <c r="J2" s="4" t="n">
        <f aca="false">F2-I2</f>
        <v>12</v>
      </c>
      <c r="K2" s="4" t="n">
        <f aca="false">COUNTIFS(Placement!$C:$C,$B2,Placement!$N:$N,1)</f>
        <v>0</v>
      </c>
      <c r="L2" s="4" t="n">
        <f aca="false">COUNTIFS(Placement!$C:$C,$B2,Placement!$I:$I,"elite-boss only")</f>
        <v>0</v>
      </c>
      <c r="M2" s="4" t="n">
        <f aca="false">COUNTIFS(Placement!$C:$C,$B2,Placement!$I:$I,"submap unique")</f>
        <v>0</v>
      </c>
      <c r="N2" s="4" t="n">
        <f aca="false">COUNTIFS(Placement!$C:$C,$B2,Placement!$K:$K,"new card (to design)")</f>
        <v>0</v>
      </c>
      <c r="O2" s="4" t="n">
        <v>21</v>
      </c>
      <c r="P2" s="4" t="n">
        <f aca="false">F2-O2</f>
        <v>-9</v>
      </c>
    </row>
    <row r="3" customFormat="false" ht="15" hidden="false" customHeight="false" outlineLevel="0" collapsed="false">
      <c r="A3" s="4" t="s">
        <v>85</v>
      </c>
      <c r="B3" s="4" t="s">
        <v>86</v>
      </c>
      <c r="C3" s="4" t="s">
        <v>28</v>
      </c>
      <c r="D3" s="4" t="n">
        <v>4</v>
      </c>
      <c r="E3" s="4" t="n">
        <v>4</v>
      </c>
      <c r="F3" s="4" t="n">
        <f aca="false">COUNTIFS(Placement!$C:$C,$B3)</f>
        <v>18</v>
      </c>
      <c r="G3" s="4" t="n">
        <f aca="false">COUNTIFS(Placement!$C:$C,$B3,Placement!$L:$L,"Yes")</f>
        <v>6</v>
      </c>
      <c r="H3" s="4" t="n">
        <f aca="false">F3-G3</f>
        <v>12</v>
      </c>
      <c r="I3" s="4" t="n">
        <f aca="false">COUNTIFS(Placement!$C:$C,$B3,Placement!$M:$M,"Yes")</f>
        <v>1</v>
      </c>
      <c r="J3" s="4" t="n">
        <f aca="false">F3-I3</f>
        <v>17</v>
      </c>
      <c r="K3" s="4" t="n">
        <f aca="false">COUNTIFS(Placement!$C:$C,$B3,Placement!$N:$N,1)</f>
        <v>2</v>
      </c>
      <c r="L3" s="4" t="n">
        <f aca="false">COUNTIFS(Placement!$C:$C,$B3,Placement!$I:$I,"elite-boss only")</f>
        <v>1</v>
      </c>
      <c r="M3" s="4" t="n">
        <f aca="false">COUNTIFS(Placement!$C:$C,$B3,Placement!$I:$I,"submap unique")</f>
        <v>0</v>
      </c>
      <c r="N3" s="4" t="n">
        <f aca="false">COUNTIFS(Placement!$C:$C,$B3,Placement!$K:$K,"new card (to design)")</f>
        <v>0</v>
      </c>
      <c r="O3" s="4" t="n">
        <v>20</v>
      </c>
      <c r="P3" s="4" t="n">
        <f aca="false">F3-O3</f>
        <v>-2</v>
      </c>
    </row>
    <row r="4" customFormat="false" ht="15" hidden="false" customHeight="false" outlineLevel="0" collapsed="false">
      <c r="A4" s="4" t="s">
        <v>123</v>
      </c>
      <c r="B4" s="4" t="s">
        <v>124</v>
      </c>
      <c r="C4" s="4" t="s">
        <v>125</v>
      </c>
      <c r="D4" s="4" t="n">
        <v>5</v>
      </c>
      <c r="E4" s="4" t="n">
        <v>5</v>
      </c>
      <c r="F4" s="4" t="n">
        <f aca="false">COUNTIFS(Placement!$C:$C,$B4)</f>
        <v>13</v>
      </c>
      <c r="G4" s="4" t="n">
        <f aca="false">COUNTIFS(Placement!$C:$C,$B4,Placement!$L:$L,"Yes")</f>
        <v>12</v>
      </c>
      <c r="H4" s="4" t="n">
        <f aca="false">F4-G4</f>
        <v>1</v>
      </c>
      <c r="I4" s="4" t="n">
        <f aca="false">COUNTIFS(Placement!$C:$C,$B4,Placement!$M:$M,"Yes")</f>
        <v>1</v>
      </c>
      <c r="J4" s="4" t="n">
        <f aca="false">F4-I4</f>
        <v>12</v>
      </c>
      <c r="K4" s="4" t="n">
        <f aca="false">COUNTIFS(Placement!$C:$C,$B4,Placement!$N:$N,1)</f>
        <v>6</v>
      </c>
      <c r="L4" s="4" t="n">
        <f aca="false">COUNTIFS(Placement!$C:$C,$B4,Placement!$I:$I,"elite-boss only")</f>
        <v>2</v>
      </c>
      <c r="M4" s="4" t="n">
        <f aca="false">COUNTIFS(Placement!$C:$C,$B4,Placement!$I:$I,"submap unique")</f>
        <v>0</v>
      </c>
      <c r="N4" s="4" t="n">
        <f aca="false">COUNTIFS(Placement!$C:$C,$B4,Placement!$K:$K,"new card (to design)")</f>
        <v>0</v>
      </c>
      <c r="O4" s="4" t="n">
        <v>14</v>
      </c>
      <c r="P4" s="4" t="n">
        <f aca="false">F4-O4</f>
        <v>-1</v>
      </c>
    </row>
    <row r="5" customFormat="false" ht="15" hidden="false" customHeight="false" outlineLevel="0" collapsed="false">
      <c r="A5" s="4" t="s">
        <v>179</v>
      </c>
      <c r="B5" s="4" t="s">
        <v>180</v>
      </c>
      <c r="C5" s="4" t="s">
        <v>125</v>
      </c>
      <c r="D5" s="4" t="n">
        <v>4</v>
      </c>
      <c r="E5" s="4" t="n">
        <v>5</v>
      </c>
      <c r="F5" s="4" t="n">
        <f aca="false">COUNTIFS(Placement!$C:$C,$B5)</f>
        <v>11</v>
      </c>
      <c r="G5" s="4" t="n">
        <f aca="false">COUNTIFS(Placement!$C:$C,$B5,Placement!$L:$L,"Yes")</f>
        <v>3</v>
      </c>
      <c r="H5" s="4" t="n">
        <f aca="false">F5-G5</f>
        <v>8</v>
      </c>
      <c r="I5" s="4" t="n">
        <f aca="false">COUNTIFS(Placement!$C:$C,$B5,Placement!$M:$M,"Yes")</f>
        <v>0</v>
      </c>
      <c r="J5" s="4" t="n">
        <f aca="false">F5-I5</f>
        <v>11</v>
      </c>
      <c r="K5" s="4" t="n">
        <f aca="false">COUNTIFS(Placement!$C:$C,$B5,Placement!$N:$N,1)</f>
        <v>3</v>
      </c>
      <c r="L5" s="4" t="n">
        <f aca="false">COUNTIFS(Placement!$C:$C,$B5,Placement!$I:$I,"elite-boss only")</f>
        <v>1</v>
      </c>
      <c r="M5" s="4" t="n">
        <f aca="false">COUNTIFS(Placement!$C:$C,$B5,Placement!$I:$I,"submap unique")</f>
        <v>2</v>
      </c>
      <c r="N5" s="4" t="n">
        <f aca="false">COUNTIFS(Placement!$C:$C,$B5,Placement!$K:$K,"new card (to design)")</f>
        <v>0</v>
      </c>
      <c r="O5" s="4" t="n">
        <v>20</v>
      </c>
      <c r="P5" s="4" t="n">
        <f aca="false">F5-O5</f>
        <v>-9</v>
      </c>
    </row>
    <row r="6" customFormat="false" ht="15" hidden="false" customHeight="false" outlineLevel="0" collapsed="false">
      <c r="A6" s="4" t="s">
        <v>201</v>
      </c>
      <c r="B6" s="4" t="s">
        <v>202</v>
      </c>
      <c r="C6" s="4" t="s">
        <v>203</v>
      </c>
      <c r="D6" s="4" t="n">
        <v>5</v>
      </c>
      <c r="E6" s="4" t="n">
        <v>5</v>
      </c>
      <c r="F6" s="4" t="n">
        <f aca="false">COUNTIFS(Placement!$C:$C,$B6)</f>
        <v>11</v>
      </c>
      <c r="G6" s="4" t="n">
        <f aca="false">COUNTIFS(Placement!$C:$C,$B6,Placement!$L:$L,"Yes")</f>
        <v>11</v>
      </c>
      <c r="H6" s="4" t="n">
        <f aca="false">F6-G6</f>
        <v>0</v>
      </c>
      <c r="I6" s="4" t="n">
        <f aca="false">COUNTIFS(Placement!$C:$C,$B6,Placement!$M:$M,"Yes")</f>
        <v>3</v>
      </c>
      <c r="J6" s="4" t="n">
        <f aca="false">F6-I6</f>
        <v>8</v>
      </c>
      <c r="K6" s="4" t="n">
        <f aca="false">COUNTIFS(Placement!$C:$C,$B6,Placement!$N:$N,1)</f>
        <v>3</v>
      </c>
      <c r="L6" s="4" t="n">
        <f aca="false">COUNTIFS(Placement!$C:$C,$B6,Placement!$I:$I,"elite-boss only")</f>
        <v>3</v>
      </c>
      <c r="M6" s="4" t="n">
        <f aca="false">COUNTIFS(Placement!$C:$C,$B6,Placement!$I:$I,"submap unique")</f>
        <v>0</v>
      </c>
      <c r="N6" s="4" t="n">
        <f aca="false">COUNTIFS(Placement!$C:$C,$B6,Placement!$K:$K,"new card (to design)")</f>
        <v>0</v>
      </c>
      <c r="O6" s="4" t="n">
        <v>8</v>
      </c>
      <c r="P6" s="4" t="n">
        <f aca="false">F6-O6</f>
        <v>3</v>
      </c>
    </row>
    <row r="7" customFormat="false" ht="15" hidden="false" customHeight="false" outlineLevel="0" collapsed="false">
      <c r="A7" s="4" t="s">
        <v>254</v>
      </c>
      <c r="B7" s="4" t="s">
        <v>255</v>
      </c>
      <c r="C7" s="4" t="s">
        <v>256</v>
      </c>
      <c r="D7" s="4" t="n">
        <v>4</v>
      </c>
      <c r="E7" s="4" t="n">
        <v>7</v>
      </c>
      <c r="F7" s="4" t="n">
        <f aca="false">COUNTIFS(Placement!$C:$C,$B7)</f>
        <v>10</v>
      </c>
      <c r="G7" s="4" t="n">
        <f aca="false">COUNTIFS(Placement!$C:$C,$B7,Placement!$L:$L,"Yes")</f>
        <v>6</v>
      </c>
      <c r="H7" s="4" t="n">
        <f aca="false">F7-G7</f>
        <v>4</v>
      </c>
      <c r="I7" s="4" t="n">
        <f aca="false">COUNTIFS(Placement!$C:$C,$B7,Placement!$M:$M,"Yes")</f>
        <v>0</v>
      </c>
      <c r="J7" s="4" t="n">
        <f aca="false">F7-I7</f>
        <v>10</v>
      </c>
      <c r="K7" s="4" t="n">
        <f aca="false">COUNTIFS(Placement!$C:$C,$B7,Placement!$N:$N,1)</f>
        <v>5</v>
      </c>
      <c r="L7" s="4" t="n">
        <f aca="false">COUNTIFS(Placement!$C:$C,$B7,Placement!$I:$I,"elite-boss only")</f>
        <v>1</v>
      </c>
      <c r="M7" s="4" t="n">
        <f aca="false">COUNTIFS(Placement!$C:$C,$B7,Placement!$I:$I,"submap unique")</f>
        <v>2</v>
      </c>
      <c r="N7" s="4" t="n">
        <f aca="false">COUNTIFS(Placement!$C:$C,$B7,Placement!$K:$K,"new card (to design)")</f>
        <v>0</v>
      </c>
      <c r="O7" s="4" t="n">
        <v>20</v>
      </c>
      <c r="P7" s="4" t="n">
        <f aca="false">F7-O7</f>
        <v>-10</v>
      </c>
    </row>
    <row r="8" customFormat="false" ht="15" hidden="false" customHeight="false" outlineLevel="0" collapsed="false">
      <c r="A8" s="4" t="s">
        <v>254</v>
      </c>
      <c r="B8" s="4" t="s">
        <v>282</v>
      </c>
      <c r="C8" s="4" t="s">
        <v>283</v>
      </c>
      <c r="D8" s="4" t="n">
        <v>4</v>
      </c>
      <c r="E8" s="4" t="n">
        <v>4</v>
      </c>
      <c r="F8" s="4" t="n">
        <f aca="false">COUNTIFS(Placement!$C:$C,$B8)</f>
        <v>9</v>
      </c>
      <c r="G8" s="4" t="n">
        <f aca="false">COUNTIFS(Placement!$C:$C,$B8,Placement!$L:$L,"Yes")</f>
        <v>3</v>
      </c>
      <c r="H8" s="4" t="n">
        <f aca="false">F8-G8</f>
        <v>6</v>
      </c>
      <c r="I8" s="4" t="n">
        <f aca="false">COUNTIFS(Placement!$C:$C,$B8,Placement!$M:$M,"Yes")</f>
        <v>3</v>
      </c>
      <c r="J8" s="4" t="n">
        <f aca="false">F8-I8</f>
        <v>6</v>
      </c>
      <c r="K8" s="4" t="n">
        <f aca="false">COUNTIFS(Placement!$C:$C,$B8,Placement!$N:$N,1)</f>
        <v>2</v>
      </c>
      <c r="L8" s="4" t="n">
        <f aca="false">COUNTIFS(Placement!$C:$C,$B8,Placement!$I:$I,"elite-boss only")</f>
        <v>0</v>
      </c>
      <c r="M8" s="4" t="n">
        <f aca="false">COUNTIFS(Placement!$C:$C,$B8,Placement!$I:$I,"submap unique")</f>
        <v>2</v>
      </c>
      <c r="N8" s="4" t="n">
        <f aca="false">COUNTIFS(Placement!$C:$C,$B8,Placement!$K:$K,"new card (to design)")</f>
        <v>0</v>
      </c>
      <c r="O8" s="4" t="n">
        <v>9</v>
      </c>
      <c r="P8" s="4" t="n">
        <f aca="false">F8-O8</f>
        <v>0</v>
      </c>
    </row>
    <row r="9" customFormat="false" ht="15" hidden="false" customHeight="false" outlineLevel="0" collapsed="false">
      <c r="A9" s="4" t="s">
        <v>304</v>
      </c>
      <c r="B9" s="4" t="s">
        <v>305</v>
      </c>
      <c r="C9" s="4" t="s">
        <v>306</v>
      </c>
      <c r="D9" s="4" t="n">
        <v>6</v>
      </c>
      <c r="E9" s="4" t="n">
        <v>7</v>
      </c>
      <c r="F9" s="4" t="n">
        <f aca="false">COUNTIFS(Placement!$C:$C,$B9)</f>
        <v>14</v>
      </c>
      <c r="G9" s="4" t="n">
        <f aca="false">COUNTIFS(Placement!$C:$C,$B9,Placement!$L:$L,"Yes")</f>
        <v>11</v>
      </c>
      <c r="H9" s="4" t="n">
        <f aca="false">F9-G9</f>
        <v>3</v>
      </c>
      <c r="I9" s="4" t="n">
        <f aca="false">COUNTIFS(Placement!$C:$C,$B9,Placement!$M:$M,"Yes")</f>
        <v>0</v>
      </c>
      <c r="J9" s="4" t="n">
        <f aca="false">F9-I9</f>
        <v>14</v>
      </c>
      <c r="K9" s="4" t="n">
        <f aca="false">COUNTIFS(Placement!$C:$C,$B9,Placement!$N:$N,1)</f>
        <v>7</v>
      </c>
      <c r="L9" s="4" t="n">
        <f aca="false">COUNTIFS(Placement!$C:$C,$B9,Placement!$I:$I,"elite-boss only")</f>
        <v>4</v>
      </c>
      <c r="M9" s="4" t="n">
        <f aca="false">COUNTIFS(Placement!$C:$C,$B9,Placement!$I:$I,"submap unique")</f>
        <v>0</v>
      </c>
      <c r="N9" s="4" t="n">
        <f aca="false">COUNTIFS(Placement!$C:$C,$B9,Placement!$K:$K,"new card (to design)")</f>
        <v>3</v>
      </c>
      <c r="O9" s="4" t="n">
        <v>13</v>
      </c>
      <c r="P9" s="4" t="n">
        <f aca="false">F9-O9</f>
        <v>1</v>
      </c>
    </row>
    <row r="10" customFormat="false" ht="15" hidden="false" customHeight="false" outlineLevel="0" collapsed="false">
      <c r="A10" s="4" t="s">
        <v>359</v>
      </c>
      <c r="B10" s="4" t="s">
        <v>360</v>
      </c>
      <c r="C10" s="4" t="s">
        <v>361</v>
      </c>
      <c r="D10" s="4" t="n">
        <v>6</v>
      </c>
      <c r="E10" s="4" t="n">
        <v>5</v>
      </c>
      <c r="F10" s="4" t="n">
        <f aca="false">COUNTIFS(Placement!$C:$C,$B10)</f>
        <v>16</v>
      </c>
      <c r="G10" s="4" t="n">
        <f aca="false">COUNTIFS(Placement!$C:$C,$B10,Placement!$L:$L,"Yes")</f>
        <v>15</v>
      </c>
      <c r="H10" s="4" t="n">
        <f aca="false">F10-G10</f>
        <v>1</v>
      </c>
      <c r="I10" s="4" t="n">
        <f aca="false">COUNTIFS(Placement!$C:$C,$B10,Placement!$M:$M,"Yes")</f>
        <v>4</v>
      </c>
      <c r="J10" s="4" t="n">
        <f aca="false">F10-I10</f>
        <v>12</v>
      </c>
      <c r="K10" s="4" t="n">
        <f aca="false">COUNTIFS(Placement!$C:$C,$B10,Placement!$N:$N,1)</f>
        <v>14</v>
      </c>
      <c r="L10" s="4" t="n">
        <f aca="false">COUNTIFS(Placement!$C:$C,$B10,Placement!$I:$I,"elite-boss only")</f>
        <v>5</v>
      </c>
      <c r="M10" s="4" t="n">
        <f aca="false">COUNTIFS(Placement!$C:$C,$B10,Placement!$I:$I,"submap unique")</f>
        <v>0</v>
      </c>
      <c r="N10" s="4" t="n">
        <f aca="false">COUNTIFS(Placement!$C:$C,$B10,Placement!$K:$K,"new card (to design)")</f>
        <v>0</v>
      </c>
      <c r="O10" s="4" t="n">
        <v>8</v>
      </c>
      <c r="P10" s="4" t="n">
        <f aca="false">F10-O10</f>
        <v>8</v>
      </c>
    </row>
    <row r="11" customFormat="false" ht="15" hidden="false" customHeight="false" outlineLevel="0" collapsed="false">
      <c r="A11" s="4" t="s">
        <v>430</v>
      </c>
      <c r="B11" s="4" t="s">
        <v>431</v>
      </c>
      <c r="C11" s="4" t="s">
        <v>432</v>
      </c>
      <c r="D11" s="4" t="n">
        <v>6</v>
      </c>
      <c r="E11" s="4" t="n">
        <v>7</v>
      </c>
      <c r="F11" s="4" t="n">
        <f aca="false">COUNTIFS(Placement!$C:$C,$B11)</f>
        <v>14</v>
      </c>
      <c r="G11" s="4" t="n">
        <f aca="false">COUNTIFS(Placement!$C:$C,$B11,Placement!$L:$L,"Yes")</f>
        <v>14</v>
      </c>
      <c r="H11" s="4" t="n">
        <f aca="false">F11-G11</f>
        <v>0</v>
      </c>
      <c r="I11" s="4" t="n">
        <f aca="false">COUNTIFS(Placement!$C:$C,$B11,Placement!$M:$M,"Yes")</f>
        <v>1</v>
      </c>
      <c r="J11" s="4" t="n">
        <f aca="false">F11-I11</f>
        <v>13</v>
      </c>
      <c r="K11" s="4" t="n">
        <f aca="false">COUNTIFS(Placement!$C:$C,$B11,Placement!$N:$N,1)</f>
        <v>7</v>
      </c>
      <c r="L11" s="4" t="n">
        <f aca="false">COUNTIFS(Placement!$C:$C,$B11,Placement!$I:$I,"elite-boss only")</f>
        <v>3</v>
      </c>
      <c r="M11" s="4" t="n">
        <f aca="false">COUNTIFS(Placement!$C:$C,$B11,Placement!$I:$I,"submap unique")</f>
        <v>0</v>
      </c>
      <c r="N11" s="4" t="n">
        <f aca="false">COUNTIFS(Placement!$C:$C,$B11,Placement!$K:$K,"new card (to design)")</f>
        <v>0</v>
      </c>
      <c r="O11" s="4" t="n">
        <v>12</v>
      </c>
      <c r="P11" s="4" t="n">
        <f aca="false">F11-O11</f>
        <v>2</v>
      </c>
    </row>
    <row r="12" customFormat="false" ht="15" hidden="false" customHeight="false" outlineLevel="0" collapsed="false">
      <c r="A12" s="4" t="s">
        <v>489</v>
      </c>
      <c r="B12" s="4" t="s">
        <v>490</v>
      </c>
      <c r="C12" s="4" t="s">
        <v>432</v>
      </c>
      <c r="D12" s="4" t="n">
        <v>4</v>
      </c>
      <c r="E12" s="4" t="n">
        <v>4</v>
      </c>
      <c r="F12" s="4" t="n">
        <f aca="false">COUNTIFS(Placement!$C:$C,$B12)</f>
        <v>9</v>
      </c>
      <c r="G12" s="4" t="n">
        <f aca="false">COUNTIFS(Placement!$C:$C,$B12,Placement!$L:$L,"Yes")</f>
        <v>2</v>
      </c>
      <c r="H12" s="4" t="n">
        <f aca="false">F12-G12</f>
        <v>7</v>
      </c>
      <c r="I12" s="4" t="n">
        <f aca="false">COUNTIFS(Placement!$C:$C,$B12,Placement!$M:$M,"Yes")</f>
        <v>0</v>
      </c>
      <c r="J12" s="4" t="n">
        <f aca="false">F12-I12</f>
        <v>9</v>
      </c>
      <c r="K12" s="4" t="n">
        <f aca="false">COUNTIFS(Placement!$C:$C,$B12,Placement!$N:$N,1)</f>
        <v>2</v>
      </c>
      <c r="L12" s="4" t="n">
        <f aca="false">COUNTIFS(Placement!$C:$C,$B12,Placement!$I:$I,"elite-boss only")</f>
        <v>0</v>
      </c>
      <c r="M12" s="4" t="n">
        <f aca="false">COUNTIFS(Placement!$C:$C,$B12,Placement!$I:$I,"submap unique")</f>
        <v>2</v>
      </c>
      <c r="N12" s="4" t="n">
        <f aca="false">COUNTIFS(Placement!$C:$C,$B12,Placement!$K:$K,"new card (to design)")</f>
        <v>0</v>
      </c>
      <c r="O12" s="4" t="n">
        <v>10</v>
      </c>
      <c r="P12" s="4" t="n">
        <f aca="false">F12-O12</f>
        <v>-1</v>
      </c>
    </row>
    <row r="13" customFormat="false" ht="15" hidden="false" customHeight="false" outlineLevel="0" collapsed="false">
      <c r="A13" s="4" t="s">
        <v>506</v>
      </c>
      <c r="B13" s="4" t="s">
        <v>507</v>
      </c>
      <c r="C13" s="4" t="s">
        <v>508</v>
      </c>
      <c r="D13" s="4" t="n">
        <v>6</v>
      </c>
      <c r="E13" s="4" t="n">
        <v>8</v>
      </c>
      <c r="F13" s="4" t="n">
        <f aca="false">COUNTIFS(Placement!$C:$C,$B13)</f>
        <v>14</v>
      </c>
      <c r="G13" s="4" t="n">
        <f aca="false">COUNTIFS(Placement!$C:$C,$B13,Placement!$L:$L,"Yes")</f>
        <v>12</v>
      </c>
      <c r="H13" s="4" t="n">
        <f aca="false">F13-G13</f>
        <v>2</v>
      </c>
      <c r="I13" s="4" t="n">
        <f aca="false">COUNTIFS(Placement!$C:$C,$B13,Placement!$M:$M,"Yes")</f>
        <v>0</v>
      </c>
      <c r="J13" s="4" t="n">
        <f aca="false">F13-I13</f>
        <v>14</v>
      </c>
      <c r="K13" s="4" t="n">
        <f aca="false">COUNTIFS(Placement!$C:$C,$B13,Placement!$N:$N,1)</f>
        <v>12</v>
      </c>
      <c r="L13" s="4" t="n">
        <f aca="false">COUNTIFS(Placement!$C:$C,$B13,Placement!$I:$I,"elite-boss only")</f>
        <v>4</v>
      </c>
      <c r="M13" s="4" t="n">
        <f aca="false">COUNTIFS(Placement!$C:$C,$B13,Placement!$I:$I,"submap unique")</f>
        <v>0</v>
      </c>
      <c r="N13" s="4" t="n">
        <f aca="false">COUNTIFS(Placement!$C:$C,$B13,Placement!$K:$K,"new card (to design)")</f>
        <v>0</v>
      </c>
      <c r="O13" s="4" t="n">
        <v>15</v>
      </c>
      <c r="P13" s="4" t="n">
        <f aca="false">F13-O13</f>
        <v>-1</v>
      </c>
    </row>
    <row r="14" customFormat="false" ht="15" hidden="false" customHeight="false" outlineLevel="0" collapsed="false">
      <c r="A14" s="4" t="s">
        <v>561</v>
      </c>
      <c r="B14" s="4" t="s">
        <v>562</v>
      </c>
      <c r="C14" s="4" t="s">
        <v>563</v>
      </c>
      <c r="D14" s="4" t="n">
        <v>6</v>
      </c>
      <c r="E14" s="4" t="n">
        <v>6</v>
      </c>
      <c r="F14" s="4" t="n">
        <f aca="false">COUNTIFS(Placement!$C:$C,$B14)</f>
        <v>14</v>
      </c>
      <c r="G14" s="4" t="n">
        <f aca="false">COUNTIFS(Placement!$C:$C,$B14,Placement!$L:$L,"Yes")</f>
        <v>12</v>
      </c>
      <c r="H14" s="4" t="n">
        <f aca="false">F14-G14</f>
        <v>2</v>
      </c>
      <c r="I14" s="4" t="n">
        <f aca="false">COUNTIFS(Placement!$C:$C,$B14,Placement!$M:$M,"Yes")</f>
        <v>1</v>
      </c>
      <c r="J14" s="4" t="n">
        <f aca="false">F14-I14</f>
        <v>13</v>
      </c>
      <c r="K14" s="4" t="n">
        <f aca="false">COUNTIFS(Placement!$C:$C,$B14,Placement!$N:$N,1)</f>
        <v>6</v>
      </c>
      <c r="L14" s="4" t="n">
        <f aca="false">COUNTIFS(Placement!$C:$C,$B14,Placement!$I:$I,"elite-boss only")</f>
        <v>2</v>
      </c>
      <c r="M14" s="4" t="n">
        <f aca="false">COUNTIFS(Placement!$C:$C,$B14,Placement!$I:$I,"submap unique")</f>
        <v>0</v>
      </c>
      <c r="N14" s="4" t="n">
        <f aca="false">COUNTIFS(Placement!$C:$C,$B14,Placement!$K:$K,"new card (to design)")</f>
        <v>0</v>
      </c>
      <c r="O14" s="4" t="n">
        <v>17</v>
      </c>
      <c r="P14" s="4" t="n">
        <f aca="false">F14-O14</f>
        <v>-3</v>
      </c>
    </row>
    <row r="15" customFormat="false" ht="15" hidden="false" customHeight="false" outlineLevel="0" collapsed="false">
      <c r="A15" s="4" t="s">
        <v>615</v>
      </c>
      <c r="B15" s="4" t="s">
        <v>616</v>
      </c>
      <c r="C15" s="4" t="s">
        <v>617</v>
      </c>
      <c r="D15" s="4" t="n">
        <v>4</v>
      </c>
      <c r="E15" s="4" t="n">
        <v>5</v>
      </c>
      <c r="F15" s="4" t="n">
        <f aca="false">COUNTIFS(Placement!$C:$C,$B15)</f>
        <v>9</v>
      </c>
      <c r="G15" s="4" t="n">
        <f aca="false">COUNTIFS(Placement!$C:$C,$B15,Placement!$L:$L,"Yes")</f>
        <v>4</v>
      </c>
      <c r="H15" s="4" t="n">
        <f aca="false">F15-G15</f>
        <v>5</v>
      </c>
      <c r="I15" s="4" t="n">
        <f aca="false">COUNTIFS(Placement!$C:$C,$B15,Placement!$M:$M,"Yes")</f>
        <v>0</v>
      </c>
      <c r="J15" s="4" t="n">
        <f aca="false">F15-I15</f>
        <v>9</v>
      </c>
      <c r="K15" s="4" t="n">
        <f aca="false">COUNTIFS(Placement!$C:$C,$B15,Placement!$N:$N,1)</f>
        <v>4</v>
      </c>
      <c r="L15" s="4" t="n">
        <f aca="false">COUNTIFS(Placement!$C:$C,$B15,Placement!$I:$I,"elite-boss only")</f>
        <v>0</v>
      </c>
      <c r="M15" s="4" t="n">
        <f aca="false">COUNTIFS(Placement!$C:$C,$B15,Placement!$I:$I,"submap unique")</f>
        <v>4</v>
      </c>
      <c r="N15" s="4" t="n">
        <f aca="false">COUNTIFS(Placement!$C:$C,$B15,Placement!$K:$K,"new card (to design)")</f>
        <v>0</v>
      </c>
      <c r="O15" s="4" t="n">
        <v>15</v>
      </c>
      <c r="P15" s="4" t="n">
        <f aca="false">F15-O15</f>
        <v>-6</v>
      </c>
    </row>
    <row r="16" customFormat="false" ht="15" hidden="false" customHeight="false" outlineLevel="0" collapsed="false">
      <c r="A16" s="4" t="s">
        <v>640</v>
      </c>
      <c r="B16" s="4" t="s">
        <v>641</v>
      </c>
      <c r="C16" s="4" t="s">
        <v>642</v>
      </c>
      <c r="D16" s="4" t="n">
        <v>7</v>
      </c>
      <c r="E16" s="4" t="n">
        <v>8</v>
      </c>
      <c r="F16" s="4" t="n">
        <f aca="false">COUNTIFS(Placement!$C:$C,$B16)</f>
        <v>19</v>
      </c>
      <c r="G16" s="4" t="n">
        <f aca="false">COUNTIFS(Placement!$C:$C,$B16,Placement!$L:$L,"Yes")</f>
        <v>18</v>
      </c>
      <c r="H16" s="4" t="n">
        <f aca="false">F16-G16</f>
        <v>1</v>
      </c>
      <c r="I16" s="4" t="n">
        <f aca="false">COUNTIFS(Placement!$C:$C,$B16,Placement!$M:$M,"Yes")</f>
        <v>3</v>
      </c>
      <c r="J16" s="4" t="n">
        <f aca="false">F16-I16</f>
        <v>16</v>
      </c>
      <c r="K16" s="4" t="n">
        <f aca="false">COUNTIFS(Placement!$C:$C,$B16,Placement!$N:$N,1)</f>
        <v>13</v>
      </c>
      <c r="L16" s="4" t="n">
        <f aca="false">COUNTIFS(Placement!$C:$C,$B16,Placement!$I:$I,"elite-boss only")</f>
        <v>6</v>
      </c>
      <c r="M16" s="4" t="n">
        <f aca="false">COUNTIFS(Placement!$C:$C,$B16,Placement!$I:$I,"submap unique")</f>
        <v>0</v>
      </c>
      <c r="N16" s="4" t="n">
        <f aca="false">COUNTIFS(Placement!$C:$C,$B16,Placement!$K:$K,"new card (to design)")</f>
        <v>0</v>
      </c>
      <c r="O16" s="4" t="n">
        <v>14</v>
      </c>
      <c r="P16" s="4" t="n">
        <f aca="false">F16-O16</f>
        <v>5</v>
      </c>
    </row>
    <row r="17" customFormat="false" ht="15" hidden="false" customHeight="false" outlineLevel="0" collapsed="false">
      <c r="A17" s="4" t="s">
        <v>718</v>
      </c>
      <c r="B17" s="4" t="s">
        <v>719</v>
      </c>
      <c r="C17" s="4" t="s">
        <v>720</v>
      </c>
      <c r="D17" s="4" t="n">
        <v>4</v>
      </c>
      <c r="E17" s="4" t="n">
        <v>4</v>
      </c>
      <c r="F17" s="4" t="n">
        <f aca="false">COUNTIFS(Placement!$C:$C,$B17)</f>
        <v>8</v>
      </c>
      <c r="G17" s="4" t="n">
        <f aca="false">COUNTIFS(Placement!$C:$C,$B17,Placement!$L:$L,"Yes")</f>
        <v>3</v>
      </c>
      <c r="H17" s="4" t="n">
        <f aca="false">F17-G17</f>
        <v>5</v>
      </c>
      <c r="I17" s="4" t="n">
        <f aca="false">COUNTIFS(Placement!$C:$C,$B17,Placement!$M:$M,"Yes")</f>
        <v>1</v>
      </c>
      <c r="J17" s="4" t="n">
        <f aca="false">F17-I17</f>
        <v>7</v>
      </c>
      <c r="K17" s="4" t="n">
        <f aca="false">COUNTIFS(Placement!$C:$C,$B17,Placement!$N:$N,1)</f>
        <v>3</v>
      </c>
      <c r="L17" s="4" t="n">
        <f aca="false">COUNTIFS(Placement!$C:$C,$B17,Placement!$I:$I,"elite-boss only")</f>
        <v>0</v>
      </c>
      <c r="M17" s="4" t="n">
        <f aca="false">COUNTIFS(Placement!$C:$C,$B17,Placement!$I:$I,"submap unique")</f>
        <v>3</v>
      </c>
      <c r="N17" s="4" t="n">
        <f aca="false">COUNTIFS(Placement!$C:$C,$B17,Placement!$K:$K,"new card (to design)")</f>
        <v>0</v>
      </c>
      <c r="O17" s="4" t="n">
        <v>10</v>
      </c>
      <c r="P17" s="4" t="n">
        <f aca="false">F17-O17</f>
        <v>-2</v>
      </c>
    </row>
    <row r="18" customFormat="false" ht="15" hidden="false" customHeight="false" outlineLevel="0" collapsed="false">
      <c r="A18" s="4" t="s">
        <v>740</v>
      </c>
      <c r="B18" s="4" t="s">
        <v>741</v>
      </c>
      <c r="C18" s="4" t="s">
        <v>742</v>
      </c>
      <c r="D18" s="4" t="n">
        <v>7</v>
      </c>
      <c r="E18" s="4" t="n">
        <v>7</v>
      </c>
      <c r="F18" s="4" t="n">
        <f aca="false">COUNTIFS(Placement!$C:$C,$B18)</f>
        <v>14</v>
      </c>
      <c r="G18" s="4" t="n">
        <f aca="false">COUNTIFS(Placement!$C:$C,$B18,Placement!$L:$L,"Yes")</f>
        <v>10</v>
      </c>
      <c r="H18" s="4" t="n">
        <f aca="false">F18-G18</f>
        <v>4</v>
      </c>
      <c r="I18" s="4" t="n">
        <f aca="false">COUNTIFS(Placement!$C:$C,$B18,Placement!$M:$M,"Yes")</f>
        <v>2</v>
      </c>
      <c r="J18" s="4" t="n">
        <f aca="false">F18-I18</f>
        <v>12</v>
      </c>
      <c r="K18" s="4" t="n">
        <f aca="false">COUNTIFS(Placement!$C:$C,$B18,Placement!$N:$N,1)</f>
        <v>9</v>
      </c>
      <c r="L18" s="4" t="n">
        <f aca="false">COUNTIFS(Placement!$C:$C,$B18,Placement!$I:$I,"elite-boss only")</f>
        <v>1</v>
      </c>
      <c r="M18" s="4" t="n">
        <f aca="false">COUNTIFS(Placement!$C:$C,$B18,Placement!$I:$I,"submap unique")</f>
        <v>0</v>
      </c>
      <c r="N18" s="4" t="n">
        <f aca="false">COUNTIFS(Placement!$C:$C,$B18,Placement!$K:$K,"new card (to design)")</f>
        <v>1</v>
      </c>
      <c r="O18" s="4" t="n">
        <v>16</v>
      </c>
      <c r="P18" s="4" t="n">
        <f aca="false">F18-O18</f>
        <v>-2</v>
      </c>
    </row>
    <row r="19" customFormat="false" ht="15" hidden="false" customHeight="false" outlineLevel="0" collapsed="false">
      <c r="A19" s="4" t="s">
        <v>788</v>
      </c>
      <c r="B19" s="4" t="s">
        <v>789</v>
      </c>
      <c r="C19" s="4" t="s">
        <v>790</v>
      </c>
      <c r="D19" s="4" t="n">
        <v>7</v>
      </c>
      <c r="E19" s="4" t="n">
        <v>9</v>
      </c>
      <c r="F19" s="4" t="n">
        <f aca="false">COUNTIFS(Placement!$C:$C,$B19)</f>
        <v>16</v>
      </c>
      <c r="G19" s="4" t="n">
        <f aca="false">COUNTIFS(Placement!$C:$C,$B19,Placement!$L:$L,"Yes")</f>
        <v>15</v>
      </c>
      <c r="H19" s="4" t="n">
        <f aca="false">F19-G19</f>
        <v>1</v>
      </c>
      <c r="I19" s="4" t="n">
        <f aca="false">COUNTIFS(Placement!$C:$C,$B19,Placement!$M:$M,"Yes")</f>
        <v>5</v>
      </c>
      <c r="J19" s="4" t="n">
        <f aca="false">F19-I19</f>
        <v>11</v>
      </c>
      <c r="K19" s="4" t="n">
        <f aca="false">COUNTIFS(Placement!$C:$C,$B19,Placement!$N:$N,1)</f>
        <v>13</v>
      </c>
      <c r="L19" s="4" t="n">
        <f aca="false">COUNTIFS(Placement!$C:$C,$B19,Placement!$I:$I,"elite-boss only")</f>
        <v>5</v>
      </c>
      <c r="M19" s="4" t="n">
        <f aca="false">COUNTIFS(Placement!$C:$C,$B19,Placement!$I:$I,"submap unique")</f>
        <v>0</v>
      </c>
      <c r="N19" s="4" t="n">
        <f aca="false">COUNTIFS(Placement!$C:$C,$B19,Placement!$K:$K,"new card (to design)")</f>
        <v>0</v>
      </c>
      <c r="O19" s="4" t="n">
        <v>10</v>
      </c>
      <c r="P19" s="4" t="n">
        <f aca="false">F19-O19</f>
        <v>6</v>
      </c>
    </row>
    <row r="20" customFormat="false" ht="15" hidden="false" customHeight="false" outlineLevel="0" collapsed="false">
      <c r="A20" s="4" t="s">
        <v>857</v>
      </c>
      <c r="B20" s="4" t="s">
        <v>858</v>
      </c>
      <c r="C20" s="4" t="s">
        <v>859</v>
      </c>
      <c r="D20" s="4" t="n">
        <v>4</v>
      </c>
      <c r="E20" s="4" t="n">
        <v>5</v>
      </c>
      <c r="F20" s="4" t="n">
        <f aca="false">COUNTIFS(Placement!$C:$C,$B20)</f>
        <v>10</v>
      </c>
      <c r="G20" s="4" t="n">
        <f aca="false">COUNTIFS(Placement!$C:$C,$B20,Placement!$L:$L,"Yes")</f>
        <v>7</v>
      </c>
      <c r="H20" s="4" t="n">
        <f aca="false">F20-G20</f>
        <v>3</v>
      </c>
      <c r="I20" s="4" t="n">
        <f aca="false">COUNTIFS(Placement!$C:$C,$B20,Placement!$M:$M,"Yes")</f>
        <v>1</v>
      </c>
      <c r="J20" s="4" t="n">
        <f aca="false">F20-I20</f>
        <v>9</v>
      </c>
      <c r="K20" s="4" t="n">
        <f aca="false">COUNTIFS(Placement!$C:$C,$B20,Placement!$N:$N,1)</f>
        <v>7</v>
      </c>
      <c r="L20" s="4" t="n">
        <f aca="false">COUNTIFS(Placement!$C:$C,$B20,Placement!$I:$I,"elite-boss only")</f>
        <v>0</v>
      </c>
      <c r="M20" s="4" t="n">
        <f aca="false">COUNTIFS(Placement!$C:$C,$B20,Placement!$I:$I,"submap unique")</f>
        <v>7</v>
      </c>
      <c r="N20" s="4" t="n">
        <f aca="false">COUNTIFS(Placement!$C:$C,$B20,Placement!$K:$K,"new card (to design)")</f>
        <v>0</v>
      </c>
      <c r="O20" s="4" t="n">
        <v>14</v>
      </c>
      <c r="P20" s="4" t="n">
        <f aca="false">F20-O20</f>
        <v>-4</v>
      </c>
    </row>
    <row r="21" customFormat="false" ht="15" hidden="false" customHeight="false" outlineLevel="0" collapsed="false">
      <c r="A21" s="4" t="s">
        <v>893</v>
      </c>
      <c r="B21" s="4" t="s">
        <v>894</v>
      </c>
      <c r="C21" s="4" t="s">
        <v>895</v>
      </c>
      <c r="D21" s="4" t="n">
        <v>7</v>
      </c>
      <c r="E21" s="4" t="n">
        <v>10</v>
      </c>
      <c r="F21" s="4" t="n">
        <f aca="false">COUNTIFS(Placement!$C:$C,$B21)</f>
        <v>14</v>
      </c>
      <c r="G21" s="4" t="n">
        <f aca="false">COUNTIFS(Placement!$C:$C,$B21,Placement!$L:$L,"Yes")</f>
        <v>12</v>
      </c>
      <c r="H21" s="4" t="n">
        <f aca="false">F21-G21</f>
        <v>2</v>
      </c>
      <c r="I21" s="4" t="n">
        <f aca="false">COUNTIFS(Placement!$C:$C,$B21,Placement!$M:$M,"Yes")</f>
        <v>0</v>
      </c>
      <c r="J21" s="4" t="n">
        <f aca="false">F21-I21</f>
        <v>14</v>
      </c>
      <c r="K21" s="4" t="n">
        <f aca="false">COUNTIFS(Placement!$C:$C,$B21,Placement!$N:$N,1)</f>
        <v>5</v>
      </c>
      <c r="L21" s="4" t="n">
        <f aca="false">COUNTIFS(Placement!$C:$C,$B21,Placement!$I:$I,"elite-boss only")</f>
        <v>3</v>
      </c>
      <c r="M21" s="4" t="n">
        <f aca="false">COUNTIFS(Placement!$C:$C,$B21,Placement!$I:$I,"submap unique")</f>
        <v>0</v>
      </c>
      <c r="N21" s="4" t="n">
        <f aca="false">COUNTIFS(Placement!$C:$C,$B21,Placement!$K:$K,"new card (to design)")</f>
        <v>2</v>
      </c>
      <c r="O21" s="4" t="n">
        <v>9</v>
      </c>
      <c r="P21" s="4" t="n">
        <f aca="false">F21-O21</f>
        <v>5</v>
      </c>
    </row>
    <row r="22" customFormat="false" ht="15" hidden="false" customHeight="false" outlineLevel="0" collapsed="false">
      <c r="A22" s="4" t="s">
        <v>946</v>
      </c>
      <c r="B22" s="4" t="s">
        <v>947</v>
      </c>
      <c r="C22" s="4" t="s">
        <v>895</v>
      </c>
      <c r="D22" s="4" t="n">
        <v>4</v>
      </c>
      <c r="E22" s="4" t="n">
        <v>4</v>
      </c>
      <c r="F22" s="4" t="n">
        <f aca="false">COUNTIFS(Placement!$C:$C,$B22)</f>
        <v>9</v>
      </c>
      <c r="G22" s="4" t="n">
        <f aca="false">COUNTIFS(Placement!$C:$C,$B22,Placement!$L:$L,"Yes")</f>
        <v>2</v>
      </c>
      <c r="H22" s="4" t="n">
        <f aca="false">F22-G22</f>
        <v>7</v>
      </c>
      <c r="I22" s="4" t="n">
        <f aca="false">COUNTIFS(Placement!$C:$C,$B22,Placement!$M:$M,"Yes")</f>
        <v>0</v>
      </c>
      <c r="J22" s="4" t="n">
        <f aca="false">F22-I22</f>
        <v>9</v>
      </c>
      <c r="K22" s="4" t="n">
        <f aca="false">COUNTIFS(Placement!$C:$C,$B22,Placement!$N:$N,1)</f>
        <v>2</v>
      </c>
      <c r="L22" s="4" t="n">
        <f aca="false">COUNTIFS(Placement!$C:$C,$B22,Placement!$I:$I,"elite-boss only")</f>
        <v>0</v>
      </c>
      <c r="M22" s="4" t="n">
        <f aca="false">COUNTIFS(Placement!$C:$C,$B22,Placement!$I:$I,"submap unique")</f>
        <v>2</v>
      </c>
      <c r="N22" s="4" t="n">
        <f aca="false">COUNTIFS(Placement!$C:$C,$B22,Placement!$K:$K,"new card (to design)")</f>
        <v>0</v>
      </c>
      <c r="O22" s="4" t="n">
        <v>8</v>
      </c>
      <c r="P22" s="4" t="n">
        <f aca="false">F22-O22</f>
        <v>1</v>
      </c>
    </row>
    <row r="23" customFormat="false" ht="15" hidden="false" customHeight="false" outlineLevel="0" collapsed="false">
      <c r="A23" s="4" t="s">
        <v>963</v>
      </c>
      <c r="B23" s="4" t="s">
        <v>964</v>
      </c>
      <c r="C23" s="4" t="s">
        <v>965</v>
      </c>
      <c r="D23" s="4" t="n">
        <v>7</v>
      </c>
      <c r="E23" s="4" t="n">
        <v>7</v>
      </c>
      <c r="F23" s="4" t="n">
        <f aca="false">COUNTIFS(Placement!$C:$C,$B23)</f>
        <v>17</v>
      </c>
      <c r="G23" s="4" t="n">
        <f aca="false">COUNTIFS(Placement!$C:$C,$B23,Placement!$L:$L,"Yes")</f>
        <v>16</v>
      </c>
      <c r="H23" s="4" t="n">
        <f aca="false">F23-G23</f>
        <v>1</v>
      </c>
      <c r="I23" s="4" t="n">
        <f aca="false">COUNTIFS(Placement!$C:$C,$B23,Placement!$M:$M,"Yes")</f>
        <v>3</v>
      </c>
      <c r="J23" s="4" t="n">
        <f aca="false">F23-I23</f>
        <v>14</v>
      </c>
      <c r="K23" s="4" t="n">
        <f aca="false">COUNTIFS(Placement!$C:$C,$B23,Placement!$N:$N,1)</f>
        <v>14</v>
      </c>
      <c r="L23" s="4" t="n">
        <f aca="false">COUNTIFS(Placement!$C:$C,$B23,Placement!$I:$I,"elite-boss only")</f>
        <v>4</v>
      </c>
      <c r="M23" s="4" t="n">
        <f aca="false">COUNTIFS(Placement!$C:$C,$B23,Placement!$I:$I,"submap unique")</f>
        <v>0</v>
      </c>
      <c r="N23" s="4" t="n">
        <f aca="false">COUNTIFS(Placement!$C:$C,$B23,Placement!$K:$K,"new card (to design)")</f>
        <v>0</v>
      </c>
      <c r="O23" s="4" t="n">
        <v>18</v>
      </c>
      <c r="P23" s="4" t="n">
        <f aca="false">F23-O23</f>
        <v>-1</v>
      </c>
    </row>
    <row r="24" customFormat="false" ht="15" hidden="false" customHeight="false" outlineLevel="0" collapsed="false">
      <c r="A24" s="4" t="s">
        <v>1028</v>
      </c>
      <c r="B24" s="4" t="s">
        <v>1029</v>
      </c>
      <c r="C24" s="4" t="s">
        <v>1030</v>
      </c>
      <c r="D24" s="4" t="n">
        <v>8</v>
      </c>
      <c r="E24" s="4" t="n">
        <v>8</v>
      </c>
      <c r="F24" s="4" t="n">
        <f aca="false">COUNTIFS(Placement!$C:$C,$B24)</f>
        <v>20</v>
      </c>
      <c r="G24" s="4" t="n">
        <f aca="false">COUNTIFS(Placement!$C:$C,$B24,Placement!$L:$L,"Yes")</f>
        <v>18</v>
      </c>
      <c r="H24" s="4" t="n">
        <f aca="false">F24-G24</f>
        <v>2</v>
      </c>
      <c r="I24" s="4" t="n">
        <f aca="false">COUNTIFS(Placement!$C:$C,$B24,Placement!$M:$M,"Yes")</f>
        <v>3</v>
      </c>
      <c r="J24" s="4" t="n">
        <f aca="false">F24-I24</f>
        <v>17</v>
      </c>
      <c r="K24" s="4" t="n">
        <f aca="false">COUNTIFS(Placement!$C:$C,$B24,Placement!$N:$N,1)</f>
        <v>13</v>
      </c>
      <c r="L24" s="4" t="n">
        <f aca="false">COUNTIFS(Placement!$C:$C,$B24,Placement!$I:$I,"elite-boss only")</f>
        <v>4</v>
      </c>
      <c r="M24" s="4" t="n">
        <f aca="false">COUNTIFS(Placement!$C:$C,$B24,Placement!$I:$I,"submap unique")</f>
        <v>0</v>
      </c>
      <c r="N24" s="4" t="n">
        <f aca="false">COUNTIFS(Placement!$C:$C,$B24,Placement!$K:$K,"new card (to design)")</f>
        <v>0</v>
      </c>
      <c r="O24" s="4" t="n">
        <v>15</v>
      </c>
      <c r="P24" s="4" t="n">
        <f aca="false">F24-O24</f>
        <v>5</v>
      </c>
    </row>
    <row r="25" customFormat="false" ht="15" hidden="false" customHeight="false" outlineLevel="0" collapsed="false">
      <c r="A25" s="4" t="s">
        <v>1097</v>
      </c>
      <c r="B25" s="4" t="s">
        <v>1098</v>
      </c>
      <c r="C25" s="4" t="s">
        <v>1099</v>
      </c>
      <c r="D25" s="4" t="n">
        <v>8</v>
      </c>
      <c r="E25" s="4" t="n">
        <v>8</v>
      </c>
      <c r="F25" s="4" t="n">
        <f aca="false">COUNTIFS(Placement!$C:$C,$B25)</f>
        <v>10</v>
      </c>
      <c r="G25" s="4" t="n">
        <f aca="false">COUNTIFS(Placement!$C:$C,$B25,Placement!$L:$L,"Yes")</f>
        <v>10</v>
      </c>
      <c r="H25" s="4" t="n">
        <f aca="false">F25-G25</f>
        <v>0</v>
      </c>
      <c r="I25" s="4" t="n">
        <f aca="false">COUNTIFS(Placement!$C:$C,$B25,Placement!$M:$M,"Yes")</f>
        <v>3</v>
      </c>
      <c r="J25" s="4" t="n">
        <f aca="false">F25-I25</f>
        <v>7</v>
      </c>
      <c r="K25" s="4" t="n">
        <f aca="false">COUNTIFS(Placement!$C:$C,$B25,Placement!$N:$N,1)</f>
        <v>9</v>
      </c>
      <c r="L25" s="4" t="n">
        <f aca="false">COUNTIFS(Placement!$C:$C,$B25,Placement!$I:$I,"elite-boss only")</f>
        <v>3</v>
      </c>
      <c r="M25" s="4" t="n">
        <f aca="false">COUNTIFS(Placement!$C:$C,$B25,Placement!$I:$I,"submap unique")</f>
        <v>0</v>
      </c>
      <c r="N25" s="4" t="n">
        <f aca="false">COUNTIFS(Placement!$C:$C,$B25,Placement!$K:$K,"new card (to design)")</f>
        <v>0</v>
      </c>
      <c r="O25" s="4" t="n">
        <v>10</v>
      </c>
      <c r="P25" s="4" t="n">
        <f aca="false">F25-O25</f>
        <v>0</v>
      </c>
    </row>
    <row r="26" customFormat="false" ht="15" hidden="false" customHeight="false" outlineLevel="0" collapsed="false">
      <c r="A26" s="4" t="s">
        <v>1137</v>
      </c>
      <c r="B26" s="4" t="s">
        <v>1138</v>
      </c>
      <c r="C26" s="4" t="s">
        <v>1139</v>
      </c>
      <c r="D26" s="4" t="n">
        <v>4</v>
      </c>
      <c r="E26" s="4" t="n">
        <v>5</v>
      </c>
      <c r="F26" s="4" t="n">
        <f aca="false">COUNTIFS(Placement!$C:$C,$B26)</f>
        <v>10</v>
      </c>
      <c r="G26" s="4" t="n">
        <f aca="false">COUNTIFS(Placement!$C:$C,$B26,Placement!$L:$L,"Yes")</f>
        <v>10</v>
      </c>
      <c r="H26" s="4" t="n">
        <f aca="false">F26-G26</f>
        <v>0</v>
      </c>
      <c r="I26" s="4" t="n">
        <f aca="false">COUNTIFS(Placement!$C:$C,$B26,Placement!$M:$M,"Yes")</f>
        <v>2</v>
      </c>
      <c r="J26" s="4" t="n">
        <f aca="false">F26-I26</f>
        <v>8</v>
      </c>
      <c r="K26" s="4" t="n">
        <f aca="false">COUNTIFS(Placement!$C:$C,$B26,Placement!$N:$N,1)</f>
        <v>10</v>
      </c>
      <c r="L26" s="4" t="n">
        <f aca="false">COUNTIFS(Placement!$C:$C,$B26,Placement!$I:$I,"elite-boss only")</f>
        <v>0</v>
      </c>
      <c r="M26" s="4" t="n">
        <f aca="false">COUNTIFS(Placement!$C:$C,$B26,Placement!$I:$I,"submap unique")</f>
        <v>10</v>
      </c>
      <c r="N26" s="4" t="n">
        <f aca="false">COUNTIFS(Placement!$C:$C,$B26,Placement!$K:$K,"new card (to design)")</f>
        <v>0</v>
      </c>
      <c r="O26" s="4" t="n">
        <v>8</v>
      </c>
      <c r="P26" s="4" t="n">
        <f aca="false">F26-O26</f>
        <v>2</v>
      </c>
    </row>
    <row r="27" customFormat="false" ht="15" hidden="false" customHeight="false" outlineLevel="0" collapsed="false">
      <c r="A27" s="4" t="s">
        <v>1180</v>
      </c>
      <c r="B27" s="4" t="s">
        <v>1181</v>
      </c>
      <c r="C27" s="4" t="s">
        <v>1182</v>
      </c>
      <c r="D27" s="4" t="n">
        <v>8</v>
      </c>
      <c r="E27" s="4" t="n">
        <v>7</v>
      </c>
      <c r="F27" s="4" t="n">
        <f aca="false">COUNTIFS(Placement!$C:$C,$B27)</f>
        <v>22</v>
      </c>
      <c r="G27" s="4" t="n">
        <f aca="false">COUNTIFS(Placement!$C:$C,$B27,Placement!$L:$L,"Yes")</f>
        <v>21</v>
      </c>
      <c r="H27" s="4" t="n">
        <f aca="false">F27-G27</f>
        <v>1</v>
      </c>
      <c r="I27" s="4" t="n">
        <f aca="false">COUNTIFS(Placement!$C:$C,$B27,Placement!$M:$M,"Yes")</f>
        <v>10</v>
      </c>
      <c r="J27" s="4" t="n">
        <f aca="false">F27-I27</f>
        <v>12</v>
      </c>
      <c r="K27" s="4" t="n">
        <f aca="false">COUNTIFS(Placement!$C:$C,$B27,Placement!$N:$N,1)</f>
        <v>19</v>
      </c>
      <c r="L27" s="4" t="n">
        <f aca="false">COUNTIFS(Placement!$C:$C,$B27,Placement!$I:$I,"elite-boss only")</f>
        <v>5</v>
      </c>
      <c r="M27" s="4" t="n">
        <f aca="false">COUNTIFS(Placement!$C:$C,$B27,Placement!$I:$I,"submap unique")</f>
        <v>0</v>
      </c>
      <c r="N27" s="4" t="n">
        <f aca="false">COUNTIFS(Placement!$C:$C,$B27,Placement!$K:$K,"new card (to design)")</f>
        <v>0</v>
      </c>
      <c r="O27" s="4" t="n">
        <v>14</v>
      </c>
      <c r="P27" s="4" t="n">
        <f aca="false">F27-O27</f>
        <v>8</v>
      </c>
    </row>
    <row r="28" customFormat="false" ht="15" hidden="false" customHeight="false" outlineLevel="0" collapsed="false">
      <c r="A28" s="4" t="s">
        <v>1265</v>
      </c>
      <c r="B28" s="4" t="s">
        <v>1266</v>
      </c>
      <c r="C28" s="4" t="s">
        <v>1267</v>
      </c>
      <c r="D28" s="4" t="n">
        <v>8</v>
      </c>
      <c r="E28" s="4" t="n">
        <v>7</v>
      </c>
      <c r="F28" s="4" t="n">
        <f aca="false">COUNTIFS(Placement!$C:$C,$B28)</f>
        <v>14</v>
      </c>
      <c r="G28" s="4" t="n">
        <f aca="false">COUNTIFS(Placement!$C:$C,$B28,Placement!$L:$L,"Yes")</f>
        <v>12</v>
      </c>
      <c r="H28" s="4" t="n">
        <f aca="false">F28-G28</f>
        <v>2</v>
      </c>
      <c r="I28" s="4" t="n">
        <f aca="false">COUNTIFS(Placement!$C:$C,$B28,Placement!$M:$M,"Yes")</f>
        <v>3</v>
      </c>
      <c r="J28" s="4" t="n">
        <f aca="false">F28-I28</f>
        <v>11</v>
      </c>
      <c r="K28" s="4" t="n">
        <f aca="false">COUNTIFS(Placement!$C:$C,$B28,Placement!$N:$N,1)</f>
        <v>9</v>
      </c>
      <c r="L28" s="4" t="n">
        <f aca="false">COUNTIFS(Placement!$C:$C,$B28,Placement!$I:$I,"elite-boss only")</f>
        <v>2</v>
      </c>
      <c r="M28" s="4" t="n">
        <f aca="false">COUNTIFS(Placement!$C:$C,$B28,Placement!$I:$I,"submap unique")</f>
        <v>0</v>
      </c>
      <c r="N28" s="4" t="n">
        <f aca="false">COUNTIFS(Placement!$C:$C,$B28,Placement!$K:$K,"new card (to design)")</f>
        <v>0</v>
      </c>
      <c r="O28" s="4" t="n">
        <v>13</v>
      </c>
      <c r="P28" s="4" t="n">
        <f aca="false">F28-O28</f>
        <v>1</v>
      </c>
    </row>
    <row r="29" customFormat="false" ht="15" hidden="false" customHeight="false" outlineLevel="0" collapsed="false">
      <c r="A29" s="4" t="s">
        <v>1318</v>
      </c>
      <c r="B29" s="4" t="s">
        <v>1319</v>
      </c>
      <c r="C29" s="4" t="s">
        <v>1320</v>
      </c>
      <c r="D29" s="4" t="n">
        <v>8</v>
      </c>
      <c r="E29" s="4" t="n">
        <v>8</v>
      </c>
      <c r="F29" s="4" t="n">
        <f aca="false">COUNTIFS(Placement!$C:$C,$B29)</f>
        <v>15</v>
      </c>
      <c r="G29" s="4" t="n">
        <f aca="false">COUNTIFS(Placement!$C:$C,$B29,Placement!$L:$L,"Yes")</f>
        <v>13</v>
      </c>
      <c r="H29" s="4" t="n">
        <f aca="false">F29-G29</f>
        <v>2</v>
      </c>
      <c r="I29" s="4" t="n">
        <f aca="false">COUNTIFS(Placement!$C:$C,$B29,Placement!$M:$M,"Yes")</f>
        <v>3</v>
      </c>
      <c r="J29" s="4" t="n">
        <f aca="false">F29-I29</f>
        <v>12</v>
      </c>
      <c r="K29" s="4" t="n">
        <f aca="false">COUNTIFS(Placement!$C:$C,$B29,Placement!$N:$N,1)</f>
        <v>6</v>
      </c>
      <c r="L29" s="4" t="n">
        <f aca="false">COUNTIFS(Placement!$C:$C,$B29,Placement!$I:$I,"elite-boss only")</f>
        <v>4</v>
      </c>
      <c r="M29" s="4" t="n">
        <f aca="false">COUNTIFS(Placement!$C:$C,$B29,Placement!$I:$I,"submap unique")</f>
        <v>0</v>
      </c>
      <c r="N29" s="4" t="n">
        <f aca="false">COUNTIFS(Placement!$C:$C,$B29,Placement!$K:$K,"new card (to design)")</f>
        <v>0</v>
      </c>
      <c r="O29" s="4" t="n">
        <v>17</v>
      </c>
      <c r="P29" s="4" t="n">
        <f aca="false">F29-O29</f>
        <v>-2</v>
      </c>
    </row>
    <row r="30" customFormat="false" ht="15" hidden="false" customHeight="false" outlineLevel="0" collapsed="false">
      <c r="A30" s="4" t="s">
        <v>1375</v>
      </c>
      <c r="B30" s="4" t="s">
        <v>1376</v>
      </c>
      <c r="C30" s="4" t="s">
        <v>1377</v>
      </c>
      <c r="D30" s="4" t="n">
        <v>4</v>
      </c>
      <c r="E30" s="4" t="n">
        <v>4</v>
      </c>
      <c r="F30" s="4" t="n">
        <f aca="false">COUNTIFS(Placement!$C:$C,$B30)</f>
        <v>7</v>
      </c>
      <c r="G30" s="4" t="n">
        <f aca="false">COUNTIFS(Placement!$C:$C,$B30,Placement!$L:$L,"Yes")</f>
        <v>1</v>
      </c>
      <c r="H30" s="4" t="n">
        <f aca="false">F30-G30</f>
        <v>6</v>
      </c>
      <c r="I30" s="4" t="n">
        <f aca="false">COUNTIFS(Placement!$C:$C,$B30,Placement!$M:$M,"Yes")</f>
        <v>1</v>
      </c>
      <c r="J30" s="4" t="n">
        <f aca="false">F30-I30</f>
        <v>6</v>
      </c>
      <c r="K30" s="4" t="n">
        <f aca="false">COUNTIFS(Placement!$C:$C,$B30,Placement!$N:$N,1)</f>
        <v>1</v>
      </c>
      <c r="L30" s="4" t="n">
        <f aca="false">COUNTIFS(Placement!$C:$C,$B30,Placement!$I:$I,"elite-boss only")</f>
        <v>0</v>
      </c>
      <c r="M30" s="4" t="n">
        <f aca="false">COUNTIFS(Placement!$C:$C,$B30,Placement!$I:$I,"submap unique")</f>
        <v>1</v>
      </c>
      <c r="N30" s="4" t="n">
        <f aca="false">COUNTIFS(Placement!$C:$C,$B30,Placement!$K:$K,"new card (to design)")</f>
        <v>0</v>
      </c>
      <c r="O30" s="4" t="n">
        <v>7</v>
      </c>
      <c r="P30" s="4" t="n">
        <f aca="false">F30-O30</f>
        <v>0</v>
      </c>
    </row>
    <row r="31" customFormat="false" ht="15" hidden="false" customHeight="false" outlineLevel="0" collapsed="false">
      <c r="A31" s="4" t="s">
        <v>26</v>
      </c>
      <c r="B31" s="4" t="s">
        <v>1388</v>
      </c>
      <c r="C31" s="4" t="s">
        <v>1030</v>
      </c>
      <c r="D31" s="4" t="n">
        <v>4</v>
      </c>
      <c r="E31" s="4" t="n">
        <v>4</v>
      </c>
      <c r="F31" s="4" t="n">
        <f aca="false">COUNTIFS(Placement!$C:$C,$B31)</f>
        <v>12</v>
      </c>
      <c r="G31" s="4" t="n">
        <f aca="false">COUNTIFS(Placement!$C:$C,$B31,Placement!$L:$L,"Yes")</f>
        <v>3</v>
      </c>
      <c r="H31" s="4" t="n">
        <f aca="false">F31-G31</f>
        <v>9</v>
      </c>
      <c r="I31" s="4" t="n">
        <f aca="false">COUNTIFS(Placement!$C:$C,$B31,Placement!$M:$M,"Yes")</f>
        <v>2</v>
      </c>
      <c r="J31" s="4" t="n">
        <f aca="false">F31-I31</f>
        <v>10</v>
      </c>
      <c r="K31" s="4" t="n">
        <f aca="false">COUNTIFS(Placement!$C:$C,$B31,Placement!$N:$N,1)</f>
        <v>3</v>
      </c>
      <c r="L31" s="4" t="n">
        <f aca="false">COUNTIFS(Placement!$C:$C,$B31,Placement!$I:$I,"elite-boss only")</f>
        <v>0</v>
      </c>
      <c r="M31" s="4" t="n">
        <f aca="false">COUNTIFS(Placement!$C:$C,$B31,Placement!$I:$I,"submap unique")</f>
        <v>3</v>
      </c>
      <c r="N31" s="4" t="n">
        <f aca="false">COUNTIFS(Placement!$C:$C,$B31,Placement!$K:$K,"new card (to design)")</f>
        <v>0</v>
      </c>
      <c r="O31" s="4" t="n">
        <v>9</v>
      </c>
      <c r="P31" s="4" t="n">
        <f aca="false">F31-O31</f>
        <v>3</v>
      </c>
    </row>
    <row r="32" customFormat="false" ht="15" hidden="false" customHeight="false" outlineLevel="0" collapsed="false">
      <c r="A32" s="4" t="s">
        <v>1416</v>
      </c>
      <c r="B32" s="4" t="s">
        <v>1417</v>
      </c>
      <c r="C32" s="4" t="s">
        <v>1418</v>
      </c>
      <c r="D32" s="4" t="n">
        <v>9</v>
      </c>
      <c r="E32" s="4" t="n">
        <v>7</v>
      </c>
      <c r="F32" s="4" t="n">
        <f aca="false">COUNTIFS(Placement!$C:$C,$B32)</f>
        <v>13</v>
      </c>
      <c r="G32" s="4" t="n">
        <f aca="false">COUNTIFS(Placement!$C:$C,$B32,Placement!$L:$L,"Yes")</f>
        <v>11</v>
      </c>
      <c r="H32" s="4" t="n">
        <f aca="false">F32-G32</f>
        <v>2</v>
      </c>
      <c r="I32" s="4" t="n">
        <f aca="false">COUNTIFS(Placement!$C:$C,$B32,Placement!$M:$M,"Yes")</f>
        <v>1</v>
      </c>
      <c r="J32" s="4" t="n">
        <f aca="false">F32-I32</f>
        <v>12</v>
      </c>
      <c r="K32" s="4" t="n">
        <f aca="false">COUNTIFS(Placement!$C:$C,$B32,Placement!$N:$N,1)</f>
        <v>11</v>
      </c>
      <c r="L32" s="4" t="n">
        <f aca="false">COUNTIFS(Placement!$C:$C,$B32,Placement!$I:$I,"elite-boss only")</f>
        <v>2</v>
      </c>
      <c r="M32" s="4" t="n">
        <f aca="false">COUNTIFS(Placement!$C:$C,$B32,Placement!$I:$I,"submap unique")</f>
        <v>0</v>
      </c>
      <c r="N32" s="4" t="n">
        <f aca="false">COUNTIFS(Placement!$C:$C,$B32,Placement!$K:$K,"new card (to design)")</f>
        <v>0</v>
      </c>
      <c r="O32" s="4" t="n">
        <v>11</v>
      </c>
      <c r="P32" s="4" t="n">
        <f aca="false">F32-O32</f>
        <v>2</v>
      </c>
    </row>
    <row r="33" customFormat="false" ht="15" hidden="false" customHeight="false" outlineLevel="0" collapsed="false">
      <c r="A33" s="4" t="s">
        <v>1470</v>
      </c>
      <c r="B33" s="4" t="s">
        <v>1471</v>
      </c>
      <c r="C33" s="4" t="s">
        <v>1472</v>
      </c>
      <c r="D33" s="4" t="n">
        <v>9</v>
      </c>
      <c r="E33" s="4" t="n">
        <v>6</v>
      </c>
      <c r="F33" s="4" t="n">
        <f aca="false">COUNTIFS(Placement!$C:$C,$B33)</f>
        <v>13</v>
      </c>
      <c r="G33" s="4" t="n">
        <f aca="false">COUNTIFS(Placement!$C:$C,$B33,Placement!$L:$L,"Yes")</f>
        <v>12</v>
      </c>
      <c r="H33" s="4" t="n">
        <f aca="false">F33-G33</f>
        <v>1</v>
      </c>
      <c r="I33" s="4" t="n">
        <f aca="false">COUNTIFS(Placement!$C:$C,$B33,Placement!$M:$M,"Yes")</f>
        <v>2</v>
      </c>
      <c r="J33" s="4" t="n">
        <f aca="false">F33-I33</f>
        <v>11</v>
      </c>
      <c r="K33" s="4" t="n">
        <f aca="false">COUNTIFS(Placement!$C:$C,$B33,Placement!$N:$N,1)</f>
        <v>5</v>
      </c>
      <c r="L33" s="4" t="n">
        <f aca="false">COUNTIFS(Placement!$C:$C,$B33,Placement!$I:$I,"elite-boss only")</f>
        <v>2</v>
      </c>
      <c r="M33" s="4" t="n">
        <f aca="false">COUNTIFS(Placement!$C:$C,$B33,Placement!$I:$I,"submap unique")</f>
        <v>0</v>
      </c>
      <c r="N33" s="4" t="n">
        <f aca="false">COUNTIFS(Placement!$C:$C,$B33,Placement!$K:$K,"new card (to design)")</f>
        <v>0</v>
      </c>
      <c r="O33" s="4" t="n">
        <v>10</v>
      </c>
      <c r="P33" s="4" t="n">
        <f aca="false">F33-O33</f>
        <v>3</v>
      </c>
    </row>
    <row r="34" customFormat="false" ht="15" hidden="false" customHeight="false" outlineLevel="0" collapsed="false">
      <c r="A34" s="4" t="s">
        <v>1528</v>
      </c>
      <c r="B34" s="4" t="s">
        <v>1529</v>
      </c>
      <c r="C34" s="4" t="s">
        <v>1530</v>
      </c>
      <c r="D34" s="4" t="n">
        <v>4</v>
      </c>
      <c r="E34" s="4" t="n">
        <v>10</v>
      </c>
      <c r="F34" s="4" t="n">
        <f aca="false">COUNTIFS(Placement!$C:$C,$B34)</f>
        <v>9</v>
      </c>
      <c r="G34" s="4" t="n">
        <f aca="false">COUNTIFS(Placement!$C:$C,$B34,Placement!$L:$L,"Yes")</f>
        <v>4</v>
      </c>
      <c r="H34" s="4" t="n">
        <f aca="false">F34-G34</f>
        <v>5</v>
      </c>
      <c r="I34" s="4" t="n">
        <f aca="false">COUNTIFS(Placement!$C:$C,$B34,Placement!$M:$M,"Yes")</f>
        <v>0</v>
      </c>
      <c r="J34" s="4" t="n">
        <f aca="false">F34-I34</f>
        <v>9</v>
      </c>
      <c r="K34" s="4" t="n">
        <f aca="false">COUNTIFS(Placement!$C:$C,$B34,Placement!$N:$N,1)</f>
        <v>1</v>
      </c>
      <c r="L34" s="4" t="n">
        <f aca="false">COUNTIFS(Placement!$C:$C,$B34,Placement!$I:$I,"elite-boss only")</f>
        <v>0</v>
      </c>
      <c r="M34" s="4" t="n">
        <f aca="false">COUNTIFS(Placement!$C:$C,$B34,Placement!$I:$I,"submap unique")</f>
        <v>4</v>
      </c>
      <c r="N34" s="4" t="n">
        <f aca="false">COUNTIFS(Placement!$C:$C,$B34,Placement!$K:$K,"new card (to design)")</f>
        <v>0</v>
      </c>
      <c r="O34" s="4" t="n">
        <v>20</v>
      </c>
      <c r="P34" s="4" t="n">
        <f aca="false">F34-O34</f>
        <v>-11</v>
      </c>
    </row>
    <row r="35" customFormat="false" ht="15" hidden="false" customHeight="false" outlineLevel="0" collapsed="false">
      <c r="A35" s="4" t="s">
        <v>1553</v>
      </c>
      <c r="B35" s="4" t="s">
        <v>1554</v>
      </c>
      <c r="C35" s="4" t="s">
        <v>1555</v>
      </c>
      <c r="D35" s="4" t="n">
        <v>10</v>
      </c>
      <c r="E35" s="4" t="n">
        <v>10</v>
      </c>
      <c r="F35" s="4" t="n">
        <f aca="false">COUNTIFS(Placement!$C:$C,$B35)</f>
        <v>15</v>
      </c>
      <c r="G35" s="4" t="n">
        <f aca="false">COUNTIFS(Placement!$C:$C,$B35,Placement!$L:$L,"Yes")</f>
        <v>8</v>
      </c>
      <c r="H35" s="4" t="n">
        <f aca="false">F35-G35</f>
        <v>7</v>
      </c>
      <c r="I35" s="4" t="n">
        <f aca="false">COUNTIFS(Placement!$C:$C,$B35,Placement!$M:$M,"Yes")</f>
        <v>0</v>
      </c>
      <c r="J35" s="4" t="n">
        <f aca="false">F35-I35</f>
        <v>15</v>
      </c>
      <c r="K35" s="4" t="n">
        <f aca="false">COUNTIFS(Placement!$C:$C,$B35,Placement!$N:$N,1)</f>
        <v>7</v>
      </c>
      <c r="L35" s="4" t="n">
        <f aca="false">COUNTIFS(Placement!$C:$C,$B35,Placement!$I:$I,"elite-boss only")</f>
        <v>1</v>
      </c>
      <c r="M35" s="4" t="n">
        <f aca="false">COUNTIFS(Placement!$C:$C,$B35,Placement!$I:$I,"submap unique")</f>
        <v>0</v>
      </c>
      <c r="N35" s="4" t="n">
        <f aca="false">COUNTIFS(Placement!$C:$C,$B35,Placement!$K:$K,"new card (to design)")</f>
        <v>0</v>
      </c>
      <c r="O35" s="4" t="n">
        <v>14</v>
      </c>
      <c r="P35" s="4" t="n">
        <f aca="false">F35-O35</f>
        <v>1</v>
      </c>
    </row>
    <row r="36" customFormat="false" ht="15" hidden="false" customHeight="false" outlineLevel="0" collapsed="false">
      <c r="A36" s="4" t="s">
        <v>1601</v>
      </c>
      <c r="B36" s="4" t="s">
        <v>1602</v>
      </c>
      <c r="C36" s="4" t="s">
        <v>1603</v>
      </c>
      <c r="D36" s="4" t="n">
        <v>4</v>
      </c>
      <c r="E36" s="4" t="n">
        <v>7</v>
      </c>
      <c r="F36" s="4" t="n">
        <f aca="false">COUNTIFS(Placement!$C:$C,$B36)</f>
        <v>8</v>
      </c>
      <c r="G36" s="4" t="n">
        <f aca="false">COUNTIFS(Placement!$C:$C,$B36,Placement!$L:$L,"Yes")</f>
        <v>2</v>
      </c>
      <c r="H36" s="4" t="n">
        <f aca="false">F36-G36</f>
        <v>6</v>
      </c>
      <c r="I36" s="4" t="n">
        <f aca="false">COUNTIFS(Placement!$C:$C,$B36,Placement!$M:$M,"Yes")</f>
        <v>0</v>
      </c>
      <c r="J36" s="4" t="n">
        <f aca="false">F36-I36</f>
        <v>8</v>
      </c>
      <c r="K36" s="4" t="n">
        <f aca="false">COUNTIFS(Placement!$C:$C,$B36,Placement!$N:$N,1)</f>
        <v>2</v>
      </c>
      <c r="L36" s="4" t="n">
        <f aca="false">COUNTIFS(Placement!$C:$C,$B36,Placement!$I:$I,"elite-boss only")</f>
        <v>0</v>
      </c>
      <c r="M36" s="4" t="n">
        <f aca="false">COUNTIFS(Placement!$C:$C,$B36,Placement!$I:$I,"submap unique")</f>
        <v>2</v>
      </c>
      <c r="N36" s="4" t="n">
        <f aca="false">COUNTIFS(Placement!$C:$C,$B36,Placement!$K:$K,"new card (to design)")</f>
        <v>0</v>
      </c>
      <c r="O36" s="4" t="n">
        <v>15</v>
      </c>
      <c r="P36" s="4" t="n">
        <f aca="false">F36-O36</f>
        <v>-7</v>
      </c>
    </row>
    <row r="37" customFormat="false" ht="15" hidden="false" customHeight="false" outlineLevel="0" collapsed="false">
      <c r="A37" s="4" t="s">
        <v>1601</v>
      </c>
      <c r="B37" s="4" t="s">
        <v>1619</v>
      </c>
      <c r="C37" s="4" t="s">
        <v>1620</v>
      </c>
      <c r="D37" s="4" t="n">
        <v>4</v>
      </c>
      <c r="E37" s="4" t="n">
        <v>4</v>
      </c>
      <c r="F37" s="4" t="n">
        <f aca="false">COUNTIFS(Placement!$C:$C,$B37)</f>
        <v>7</v>
      </c>
      <c r="G37" s="4" t="n">
        <f aca="false">COUNTIFS(Placement!$C:$C,$B37,Placement!$L:$L,"Yes")</f>
        <v>2</v>
      </c>
      <c r="H37" s="4" t="n">
        <f aca="false">F37-G37</f>
        <v>5</v>
      </c>
      <c r="I37" s="4" t="n">
        <f aca="false">COUNTIFS(Placement!$C:$C,$B37,Placement!$M:$M,"Yes")</f>
        <v>0</v>
      </c>
      <c r="J37" s="4" t="n">
        <f aca="false">F37-I37</f>
        <v>7</v>
      </c>
      <c r="K37" s="4" t="n">
        <f aca="false">COUNTIFS(Placement!$C:$C,$B37,Placement!$N:$N,1)</f>
        <v>2</v>
      </c>
      <c r="L37" s="4" t="n">
        <f aca="false">COUNTIFS(Placement!$C:$C,$B37,Placement!$I:$I,"elite-boss only")</f>
        <v>0</v>
      </c>
      <c r="M37" s="4" t="n">
        <f aca="false">COUNTIFS(Placement!$C:$C,$B37,Placement!$I:$I,"submap unique")</f>
        <v>2</v>
      </c>
      <c r="N37" s="4" t="n">
        <f aca="false">COUNTIFS(Placement!$C:$C,$B37,Placement!$K:$K,"new card (to design)")</f>
        <v>0</v>
      </c>
      <c r="O37" s="4" t="n">
        <v>12</v>
      </c>
      <c r="P37" s="4" t="n">
        <f aca="false">F37-O37</f>
        <v>-5</v>
      </c>
    </row>
    <row r="38" customFormat="false" ht="15" hidden="false" customHeight="false" outlineLevel="0" collapsed="false">
      <c r="A38" s="4" t="s">
        <v>1637</v>
      </c>
      <c r="B38" s="4" t="s">
        <v>1638</v>
      </c>
      <c r="C38" s="4" t="s">
        <v>1639</v>
      </c>
      <c r="D38" s="4" t="n">
        <v>9</v>
      </c>
      <c r="E38" s="4" t="n">
        <v>6</v>
      </c>
      <c r="F38" s="4" t="n">
        <f aca="false">COUNTIFS(Placement!$C:$C,$B38)</f>
        <v>16</v>
      </c>
      <c r="G38" s="4" t="n">
        <f aca="false">COUNTIFS(Placement!$C:$C,$B38,Placement!$L:$L,"Yes")</f>
        <v>6</v>
      </c>
      <c r="H38" s="4" t="n">
        <f aca="false">F38-G38</f>
        <v>10</v>
      </c>
      <c r="I38" s="4" t="n">
        <f aca="false">COUNTIFS(Placement!$C:$C,$B38,Placement!$M:$M,"Yes")</f>
        <v>1</v>
      </c>
      <c r="J38" s="4" t="n">
        <f aca="false">F38-I38</f>
        <v>15</v>
      </c>
      <c r="K38" s="4" t="n">
        <f aca="false">COUNTIFS(Placement!$C:$C,$B38,Placement!$N:$N,1)</f>
        <v>6</v>
      </c>
      <c r="L38" s="4" t="n">
        <f aca="false">COUNTIFS(Placement!$C:$C,$B38,Placement!$I:$I,"elite-boss only")</f>
        <v>2</v>
      </c>
      <c r="M38" s="4" t="n">
        <f aca="false">COUNTIFS(Placement!$C:$C,$B38,Placement!$I:$I,"submap unique")</f>
        <v>0</v>
      </c>
      <c r="N38" s="4" t="n">
        <f aca="false">COUNTIFS(Placement!$C:$C,$B38,Placement!$K:$K,"new card (to design)")</f>
        <v>0</v>
      </c>
      <c r="O38" s="4" t="n">
        <v>15</v>
      </c>
      <c r="P38" s="4" t="n">
        <f aca="false">F38-O38</f>
        <v>1</v>
      </c>
    </row>
    <row r="39" customFormat="false" ht="35.05" hidden="false" customHeight="false" outlineLevel="0" collapsed="false">
      <c r="A39" s="6" t="s">
        <v>1977</v>
      </c>
      <c r="B39" s="6" t="s">
        <v>1978</v>
      </c>
      <c r="C39" s="6"/>
      <c r="D39" s="6" t="n">
        <f aca="false">SUM(D2:D38)</f>
        <v>217</v>
      </c>
      <c r="E39" s="6" t="n">
        <f aca="false">SUM(E2:E38)</f>
        <v>232</v>
      </c>
      <c r="F39" s="6" t="n">
        <f aca="false">SUM(F2:F38)</f>
        <v>472</v>
      </c>
      <c r="G39" s="6" t="n">
        <f aca="false">SUM(G2:G38)</f>
        <v>339</v>
      </c>
      <c r="H39" s="6" t="n">
        <f aca="false">SUM(H2:H38)</f>
        <v>133</v>
      </c>
      <c r="I39" s="6" t="n">
        <f aca="false">SUM(I2:I38)</f>
        <v>60</v>
      </c>
      <c r="J39" s="6" t="n">
        <f aca="false">SUM(J2:J38)</f>
        <v>412</v>
      </c>
      <c r="K39" s="6" t="n">
        <f aca="false">SUM(K2:K38)</f>
        <v>243</v>
      </c>
      <c r="L39" s="6" t="n">
        <f aca="false">SUM(L2:L38)</f>
        <v>70</v>
      </c>
      <c r="M39" s="6" t="n">
        <f aca="false">SUM(M2:M38)</f>
        <v>46</v>
      </c>
      <c r="N39" s="6" t="n">
        <f aca="false">SUM(N2:N38)</f>
        <v>6</v>
      </c>
      <c r="O39" s="6" t="n">
        <f aca="false">SUM(O2:O38)</f>
        <v>491</v>
      </c>
      <c r="P39" s="6" t="n">
        <f aca="false">SUM(P2:P38)</f>
        <v>-19</v>
      </c>
    </row>
    <row r="40" customFormat="false" ht="23.85" hidden="false" customHeight="false" outlineLevel="0" collapsed="false">
      <c r="A40" s="6" t="s">
        <v>1979</v>
      </c>
      <c r="B40" s="6" t="s">
        <v>1980</v>
      </c>
      <c r="C40" s="6"/>
      <c r="D40" s="6"/>
      <c r="E40" s="6"/>
      <c r="F40" s="6" t="n">
        <v>339</v>
      </c>
      <c r="G40" s="6"/>
      <c r="H40" s="6"/>
      <c r="I40" s="6"/>
      <c r="J40" s="6"/>
      <c r="K40" s="6"/>
      <c r="L40" s="6"/>
      <c r="M40" s="6"/>
      <c r="N40" s="6" t="n">
        <v>6</v>
      </c>
      <c r="O40" s="6" t="n">
        <v>244</v>
      </c>
      <c r="P40" s="6"/>
    </row>
  </sheetData>
  <autoFilter ref="A1:P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4" min="3" style="0" width="8"/>
    <col collapsed="false" customWidth="true" hidden="false" outlineLevel="0" max="6" min="5" style="0" width="12"/>
    <col collapsed="false" customWidth="true" hidden="false" outlineLevel="0" max="7" min="7" style="0" width="10"/>
    <col collapsed="false" customWidth="true" hidden="false" outlineLevel="0" max="8" min="8" style="0" width="14"/>
    <col collapsed="false" customWidth="true" hidden="false" outlineLevel="0" max="9" min="9" style="0" width="12"/>
    <col collapsed="false" customWidth="true" hidden="false" outlineLevel="0" max="10" min="10" style="0" width="50"/>
    <col collapsed="false" customWidth="true" hidden="false" outlineLevel="0" max="11" min="11" style="0" width="70"/>
  </cols>
  <sheetData>
    <row r="1" customFormat="false" ht="31.5" hidden="false" customHeight="true" outlineLevel="0" collapsed="false">
      <c r="A1" s="3" t="s">
        <v>1981</v>
      </c>
      <c r="B1" s="3" t="s">
        <v>1982</v>
      </c>
      <c r="C1" s="3" t="s">
        <v>1983</v>
      </c>
      <c r="D1" s="3" t="s">
        <v>1984</v>
      </c>
      <c r="E1" s="3" t="s">
        <v>1985</v>
      </c>
      <c r="F1" s="3" t="s">
        <v>1986</v>
      </c>
      <c r="G1" s="3" t="s">
        <v>1987</v>
      </c>
      <c r="H1" s="3" t="s">
        <v>1988</v>
      </c>
      <c r="I1" s="3" t="s">
        <v>1989</v>
      </c>
      <c r="J1" s="3" t="s">
        <v>1990</v>
      </c>
      <c r="K1" s="3" t="s">
        <v>1991</v>
      </c>
    </row>
    <row r="2" customFormat="false" ht="35.05" hidden="false" customHeight="false" outlineLevel="0" collapsed="false">
      <c r="A2" s="4" t="s">
        <v>1992</v>
      </c>
      <c r="B2" s="4" t="s">
        <v>1993</v>
      </c>
      <c r="C2" s="4" t="n">
        <v>4</v>
      </c>
      <c r="D2" s="4" t="n">
        <v>3</v>
      </c>
      <c r="E2" s="4" t="n">
        <v>79</v>
      </c>
      <c r="F2" s="4" t="n">
        <v>66</v>
      </c>
      <c r="G2" s="4" t="n">
        <f aca="false">E2-F2</f>
        <v>13</v>
      </c>
      <c r="H2" s="4" t="n">
        <f aca="false">C2*8+D2*2</f>
        <v>38</v>
      </c>
      <c r="I2" s="4" t="n">
        <f aca="false">E2-H2</f>
        <v>41</v>
      </c>
      <c r="J2" s="4" t="s">
        <v>1994</v>
      </c>
      <c r="K2" s="4" t="s">
        <v>1995</v>
      </c>
    </row>
    <row r="3" customFormat="false" ht="124.6" hidden="false" customHeight="false" outlineLevel="0" collapsed="false">
      <c r="A3" s="4" t="s">
        <v>1996</v>
      </c>
      <c r="B3" s="4" t="s">
        <v>1997</v>
      </c>
      <c r="C3" s="4" t="n">
        <v>0</v>
      </c>
      <c r="D3" s="4" t="n">
        <v>0</v>
      </c>
      <c r="E3" s="4" t="n">
        <v>50</v>
      </c>
      <c r="F3" s="4" t="n">
        <v>3</v>
      </c>
      <c r="G3" s="4" t="n">
        <f aca="false">E3-F3</f>
        <v>47</v>
      </c>
      <c r="H3" s="4" t="n">
        <f aca="false">C3*8+D3*2</f>
        <v>0</v>
      </c>
      <c r="I3" s="4" t="n">
        <f aca="false">E3-H3</f>
        <v>50</v>
      </c>
      <c r="J3" s="4" t="s">
        <v>1998</v>
      </c>
      <c r="K3" s="4" t="s">
        <v>1999</v>
      </c>
    </row>
    <row r="4" customFormat="false" ht="23.85" hidden="false" customHeight="false" outlineLevel="0" collapsed="false">
      <c r="A4" s="4" t="s">
        <v>2000</v>
      </c>
      <c r="B4" s="4" t="s">
        <v>2001</v>
      </c>
      <c r="C4" s="4" t="n">
        <v>1</v>
      </c>
      <c r="D4" s="4" t="n">
        <v>1</v>
      </c>
      <c r="E4" s="4" t="n">
        <v>42</v>
      </c>
      <c r="F4" s="4" t="n">
        <v>29</v>
      </c>
      <c r="G4" s="4" t="n">
        <f aca="false">E4-F4</f>
        <v>13</v>
      </c>
      <c r="H4" s="4" t="n">
        <f aca="false">C4*8+D4*2</f>
        <v>10</v>
      </c>
      <c r="I4" s="4" t="n">
        <f aca="false">E4-H4</f>
        <v>32</v>
      </c>
      <c r="J4" s="4" t="s">
        <v>2002</v>
      </c>
      <c r="K4" s="4" t="s">
        <v>2003</v>
      </c>
    </row>
    <row r="5" customFormat="false" ht="23.85" hidden="false" customHeight="false" outlineLevel="0" collapsed="false">
      <c r="A5" s="4" t="s">
        <v>256</v>
      </c>
      <c r="B5" s="4" t="s">
        <v>2004</v>
      </c>
      <c r="C5" s="4" t="n">
        <v>1</v>
      </c>
      <c r="D5" s="4" t="n">
        <v>1</v>
      </c>
      <c r="E5" s="4" t="n">
        <v>34</v>
      </c>
      <c r="F5" s="4" t="n">
        <v>27</v>
      </c>
      <c r="G5" s="4" t="n">
        <f aca="false">E5-F5</f>
        <v>7</v>
      </c>
      <c r="H5" s="4" t="n">
        <f aca="false">C5*8+D5*2</f>
        <v>10</v>
      </c>
      <c r="I5" s="4" t="n">
        <f aca="false">E5-H5</f>
        <v>24</v>
      </c>
      <c r="J5" s="4" t="s">
        <v>2005</v>
      </c>
      <c r="K5" s="4" t="s">
        <v>2006</v>
      </c>
    </row>
    <row r="6" customFormat="false" ht="68.65" hidden="false" customHeight="false" outlineLevel="0" collapsed="false">
      <c r="A6" s="4" t="s">
        <v>2007</v>
      </c>
      <c r="B6" s="4" t="s">
        <v>1997</v>
      </c>
      <c r="C6" s="4" t="n">
        <v>0</v>
      </c>
      <c r="D6" s="4" t="n">
        <v>0</v>
      </c>
      <c r="E6" s="4" t="n">
        <v>31</v>
      </c>
      <c r="F6" s="4" t="n">
        <v>1</v>
      </c>
      <c r="G6" s="4" t="n">
        <f aca="false">E6-F6</f>
        <v>30</v>
      </c>
      <c r="H6" s="4" t="n">
        <f aca="false">C6*8+D6*2</f>
        <v>0</v>
      </c>
      <c r="I6" s="4" t="n">
        <f aca="false">E6-H6</f>
        <v>31</v>
      </c>
      <c r="J6" s="4" t="s">
        <v>2008</v>
      </c>
      <c r="K6" s="4" t="s">
        <v>2009</v>
      </c>
    </row>
    <row r="7" customFormat="false" ht="23.85" hidden="false" customHeight="false" outlineLevel="0" collapsed="false">
      <c r="A7" s="4" t="s">
        <v>642</v>
      </c>
      <c r="B7" s="4" t="s">
        <v>2010</v>
      </c>
      <c r="C7" s="4" t="n">
        <v>1</v>
      </c>
      <c r="D7" s="4" t="n">
        <v>2</v>
      </c>
      <c r="E7" s="4" t="n">
        <v>30</v>
      </c>
      <c r="F7" s="4" t="n">
        <v>25</v>
      </c>
      <c r="G7" s="4" t="n">
        <f aca="false">E7-F7</f>
        <v>5</v>
      </c>
      <c r="H7" s="4" t="n">
        <f aca="false">C7*8+D7*2</f>
        <v>12</v>
      </c>
      <c r="I7" s="4" t="n">
        <f aca="false">E7-H7</f>
        <v>18</v>
      </c>
      <c r="J7" s="4" t="s">
        <v>2011</v>
      </c>
      <c r="K7" s="4" t="s">
        <v>2012</v>
      </c>
    </row>
    <row r="8" customFormat="false" ht="23.85" hidden="false" customHeight="false" outlineLevel="0" collapsed="false">
      <c r="A8" s="4" t="s">
        <v>432</v>
      </c>
      <c r="B8" s="4" t="s">
        <v>2013</v>
      </c>
      <c r="C8" s="4" t="n">
        <v>2</v>
      </c>
      <c r="D8" s="4" t="n">
        <v>1</v>
      </c>
      <c r="E8" s="4" t="n">
        <v>29</v>
      </c>
      <c r="F8" s="4" t="n">
        <v>27</v>
      </c>
      <c r="G8" s="4" t="n">
        <f aca="false">E8-F8</f>
        <v>2</v>
      </c>
      <c r="H8" s="4" t="n">
        <f aca="false">C8*8+D8*2</f>
        <v>18</v>
      </c>
      <c r="I8" s="4" t="n">
        <f aca="false">E8-H8</f>
        <v>11</v>
      </c>
      <c r="J8" s="4" t="s">
        <v>2014</v>
      </c>
      <c r="K8" s="4" t="s">
        <v>2015</v>
      </c>
    </row>
    <row r="9" customFormat="false" ht="23.85" hidden="false" customHeight="false" outlineLevel="0" collapsed="false">
      <c r="A9" s="4" t="s">
        <v>2016</v>
      </c>
      <c r="B9" s="4" t="s">
        <v>2017</v>
      </c>
      <c r="C9" s="4" t="n">
        <v>2</v>
      </c>
      <c r="D9" s="4" t="n">
        <v>1</v>
      </c>
      <c r="E9" s="4" t="n">
        <v>28</v>
      </c>
      <c r="F9" s="4" t="n">
        <v>27</v>
      </c>
      <c r="G9" s="4" t="n">
        <f aca="false">E9-F9</f>
        <v>1</v>
      </c>
      <c r="H9" s="4" t="n">
        <f aca="false">C9*8+D9*2</f>
        <v>18</v>
      </c>
      <c r="I9" s="4" t="n">
        <f aca="false">E9-H9</f>
        <v>10</v>
      </c>
      <c r="J9" s="4" t="s">
        <v>2018</v>
      </c>
      <c r="K9" s="4" t="s">
        <v>2019</v>
      </c>
    </row>
    <row r="10" customFormat="false" ht="23.85" hidden="false" customHeight="false" outlineLevel="0" collapsed="false">
      <c r="A10" s="4" t="s">
        <v>2020</v>
      </c>
      <c r="B10" s="4" t="s">
        <v>1181</v>
      </c>
      <c r="C10" s="4" t="n">
        <v>1</v>
      </c>
      <c r="D10" s="4" t="n">
        <v>0</v>
      </c>
      <c r="E10" s="4" t="n">
        <v>28</v>
      </c>
      <c r="F10" s="4" t="n">
        <v>22</v>
      </c>
      <c r="G10" s="4" t="n">
        <f aca="false">E10-F10</f>
        <v>6</v>
      </c>
      <c r="H10" s="4" t="n">
        <f aca="false">C10*8+D10*2</f>
        <v>8</v>
      </c>
      <c r="I10" s="4" t="n">
        <f aca="false">E10-H10</f>
        <v>20</v>
      </c>
      <c r="J10" s="4" t="s">
        <v>2021</v>
      </c>
      <c r="K10" s="4" t="s">
        <v>2022</v>
      </c>
    </row>
    <row r="11" customFormat="false" ht="23.85" hidden="false" customHeight="false" outlineLevel="0" collapsed="false">
      <c r="A11" s="4" t="s">
        <v>2023</v>
      </c>
      <c r="B11" s="4" t="s">
        <v>2024</v>
      </c>
      <c r="C11" s="4" t="n">
        <v>1</v>
      </c>
      <c r="D11" s="4" t="n">
        <v>1</v>
      </c>
      <c r="E11" s="4" t="n">
        <v>27</v>
      </c>
      <c r="F11" s="4" t="n">
        <v>22</v>
      </c>
      <c r="G11" s="4" t="n">
        <f aca="false">E11-F11</f>
        <v>5</v>
      </c>
      <c r="H11" s="4" t="n">
        <f aca="false">C11*8+D11*2</f>
        <v>10</v>
      </c>
      <c r="I11" s="4" t="n">
        <f aca="false">E11-H11</f>
        <v>17</v>
      </c>
      <c r="J11" s="4" t="s">
        <v>2025</v>
      </c>
      <c r="K11" s="4" t="s">
        <v>2026</v>
      </c>
    </row>
    <row r="12" customFormat="false" ht="23.85" hidden="false" customHeight="false" outlineLevel="0" collapsed="false">
      <c r="A12" s="4" t="s">
        <v>895</v>
      </c>
      <c r="B12" s="4" t="s">
        <v>2027</v>
      </c>
      <c r="C12" s="4" t="n">
        <v>3</v>
      </c>
      <c r="D12" s="4" t="n">
        <v>1</v>
      </c>
      <c r="E12" s="4" t="n">
        <v>23</v>
      </c>
      <c r="F12" s="4" t="n">
        <v>19</v>
      </c>
      <c r="G12" s="4" t="n">
        <f aca="false">E12-F12</f>
        <v>4</v>
      </c>
      <c r="H12" s="4" t="n">
        <f aca="false">C12*8+D12*2</f>
        <v>26</v>
      </c>
      <c r="I12" s="4" t="n">
        <f aca="false">E12-H12</f>
        <v>-3</v>
      </c>
      <c r="J12" s="4" t="s">
        <v>2028</v>
      </c>
      <c r="K12" s="4" t="s">
        <v>2029</v>
      </c>
    </row>
    <row r="13" customFormat="false" ht="23.85" hidden="false" customHeight="false" outlineLevel="0" collapsed="false">
      <c r="A13" s="4" t="s">
        <v>2030</v>
      </c>
      <c r="B13" s="4" t="s">
        <v>1997</v>
      </c>
      <c r="C13" s="4" t="n">
        <v>0</v>
      </c>
      <c r="D13" s="4" t="n">
        <v>0</v>
      </c>
      <c r="E13" s="4" t="n">
        <v>18</v>
      </c>
      <c r="F13" s="4" t="n">
        <v>9</v>
      </c>
      <c r="G13" s="4" t="n">
        <f aca="false">E13-F13</f>
        <v>9</v>
      </c>
      <c r="H13" s="4" t="n">
        <f aca="false">C13*8+D13*2</f>
        <v>0</v>
      </c>
      <c r="I13" s="4" t="n">
        <f aca="false">E13-H13</f>
        <v>18</v>
      </c>
      <c r="J13" s="4" t="s">
        <v>2031</v>
      </c>
      <c r="K13" s="4" t="s">
        <v>2032</v>
      </c>
    </row>
    <row r="14" customFormat="false" ht="23.85" hidden="false" customHeight="false" outlineLevel="0" collapsed="false">
      <c r="A14" s="4" t="s">
        <v>1530</v>
      </c>
      <c r="B14" s="4" t="s">
        <v>2033</v>
      </c>
      <c r="C14" s="4" t="n">
        <v>1</v>
      </c>
      <c r="D14" s="4" t="n">
        <v>3</v>
      </c>
      <c r="E14" s="4" t="n">
        <v>15</v>
      </c>
      <c r="F14" s="4" t="n">
        <v>14</v>
      </c>
      <c r="G14" s="4" t="n">
        <f aca="false">E14-F14</f>
        <v>1</v>
      </c>
      <c r="H14" s="4" t="n">
        <f aca="false">C14*8+D14*2</f>
        <v>14</v>
      </c>
      <c r="I14" s="4" t="n">
        <f aca="false">E14-H14</f>
        <v>1</v>
      </c>
      <c r="J14" s="4" t="s">
        <v>2034</v>
      </c>
      <c r="K14" s="4" t="s">
        <v>2035</v>
      </c>
    </row>
    <row r="15" customFormat="false" ht="35.05" hidden="false" customHeight="false" outlineLevel="0" collapsed="false">
      <c r="A15" s="4" t="s">
        <v>2036</v>
      </c>
      <c r="B15" s="4" t="s">
        <v>2037</v>
      </c>
      <c r="C15" s="4" t="n">
        <v>3</v>
      </c>
      <c r="D15" s="4" t="n">
        <v>0</v>
      </c>
      <c r="E15" s="4" t="n">
        <v>13</v>
      </c>
      <c r="F15" s="4" t="n">
        <v>12</v>
      </c>
      <c r="G15" s="4" t="n">
        <f aca="false">E15-F15</f>
        <v>1</v>
      </c>
      <c r="H15" s="4" t="n">
        <f aca="false">C15*8+D15*2</f>
        <v>24</v>
      </c>
      <c r="I15" s="4" t="n">
        <f aca="false">E15-H15</f>
        <v>-11</v>
      </c>
      <c r="J15" s="4" t="s">
        <v>2038</v>
      </c>
      <c r="K15" s="4" t="s">
        <v>2039</v>
      </c>
    </row>
    <row r="16" customFormat="false" ht="23.85" hidden="false" customHeight="false" outlineLevel="0" collapsed="false">
      <c r="A16" s="4" t="s">
        <v>1139</v>
      </c>
      <c r="B16" s="4" t="s">
        <v>1138</v>
      </c>
      <c r="C16" s="4" t="n">
        <v>0</v>
      </c>
      <c r="D16" s="4" t="n">
        <v>1</v>
      </c>
      <c r="E16" s="4" t="n">
        <v>12</v>
      </c>
      <c r="F16" s="4" t="n">
        <v>9</v>
      </c>
      <c r="G16" s="4" t="n">
        <f aca="false">E16-F16</f>
        <v>3</v>
      </c>
      <c r="H16" s="4" t="n">
        <f aca="false">C16*8+D16*2</f>
        <v>2</v>
      </c>
      <c r="I16" s="4" t="n">
        <f aca="false">E16-H16</f>
        <v>10</v>
      </c>
      <c r="J16" s="4" t="s">
        <v>2040</v>
      </c>
      <c r="K16" s="4" t="s">
        <v>2041</v>
      </c>
    </row>
    <row r="17" customFormat="false" ht="35.05" hidden="false" customHeight="false" outlineLevel="0" collapsed="false">
      <c r="A17" s="4" t="s">
        <v>2042</v>
      </c>
      <c r="B17" s="4" t="s">
        <v>1098</v>
      </c>
      <c r="C17" s="4" t="n">
        <v>1</v>
      </c>
      <c r="D17" s="4" t="n">
        <v>0</v>
      </c>
      <c r="E17" s="4" t="n">
        <v>10</v>
      </c>
      <c r="F17" s="4" t="n">
        <v>10</v>
      </c>
      <c r="G17" s="4" t="n">
        <f aca="false">E17-F17</f>
        <v>0</v>
      </c>
      <c r="H17" s="4" t="n">
        <f aca="false">C17*8+D17*2</f>
        <v>8</v>
      </c>
      <c r="I17" s="4" t="n">
        <f aca="false">E17-H17</f>
        <v>2</v>
      </c>
      <c r="J17" s="4" t="s">
        <v>2043</v>
      </c>
      <c r="K17" s="4"/>
    </row>
    <row r="18" customFormat="false" ht="15" hidden="false" customHeight="false" outlineLevel="0" collapsed="false">
      <c r="A18" s="4" t="s">
        <v>1418</v>
      </c>
      <c r="B18" s="4" t="s">
        <v>1417</v>
      </c>
      <c r="C18" s="4" t="n">
        <v>1</v>
      </c>
      <c r="D18" s="4" t="n">
        <v>0</v>
      </c>
      <c r="E18" s="4" t="n">
        <v>10</v>
      </c>
      <c r="F18" s="4" t="n">
        <v>10</v>
      </c>
      <c r="G18" s="4" t="n">
        <f aca="false">E18-F18</f>
        <v>0</v>
      </c>
      <c r="H18" s="4" t="n">
        <f aca="false">C18*8+D18*2</f>
        <v>8</v>
      </c>
      <c r="I18" s="4" t="n">
        <f aca="false">E18-H18</f>
        <v>2</v>
      </c>
      <c r="J18" s="4" t="s">
        <v>2044</v>
      </c>
      <c r="K18" s="4"/>
    </row>
    <row r="19" customFormat="false" ht="15" hidden="false" customHeight="false" outlineLevel="0" collapsed="false">
      <c r="A19" s="6" t="s">
        <v>1977</v>
      </c>
      <c r="B19" s="6"/>
      <c r="C19" s="6" t="n">
        <f aca="false">SUM(C2:C18)</f>
        <v>22</v>
      </c>
      <c r="D19" s="6" t="n">
        <f aca="false">SUM(D2:D18)</f>
        <v>15</v>
      </c>
      <c r="E19" s="6" t="n">
        <f aca="false">SUM(E2:E18)</f>
        <v>479</v>
      </c>
      <c r="F19" s="6" t="n">
        <f aca="false">SUM(F2:F18)</f>
        <v>332</v>
      </c>
      <c r="G19" s="6" t="n">
        <f aca="false">SUM(G2:G18)</f>
        <v>147</v>
      </c>
      <c r="H19" s="6" t="n">
        <f aca="false">SUM(H2:H18)</f>
        <v>206</v>
      </c>
      <c r="I19" s="6" t="n">
        <f aca="false">SUM(I2:I18)</f>
        <v>273</v>
      </c>
      <c r="J19" s="6"/>
      <c r="K19" s="6"/>
    </row>
    <row r="21" customFormat="false" ht="15" hidden="false" customHeight="false" outlineLevel="0" collapsed="false">
      <c r="A21" s="8" t="s">
        <v>2045</v>
      </c>
    </row>
  </sheetData>
  <autoFilter ref="A1:K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2"/>
    <col collapsed="false" customWidth="true" hidden="false" outlineLevel="0" max="4" min="4" style="0" width="11"/>
    <col collapsed="false" customWidth="true" hidden="false" outlineLevel="0" max="5" min="5" style="0" width="26"/>
    <col collapsed="false" customWidth="true" hidden="false" outlineLevel="0" max="6" min="6" style="0" width="34"/>
    <col collapsed="false" customWidth="true" hidden="false" outlineLevel="0" max="7" min="7" style="0" width="28"/>
    <col collapsed="false" customWidth="true" hidden="false" outlineLevel="0" max="8" min="8" style="0" width="60"/>
  </cols>
  <sheetData>
    <row r="1" customFormat="false" ht="31.5" hidden="false" customHeight="true" outlineLevel="0" collapsed="false">
      <c r="A1" s="3" t="s">
        <v>2046</v>
      </c>
      <c r="B1" s="3" t="s">
        <v>15</v>
      </c>
      <c r="C1" s="3" t="s">
        <v>16</v>
      </c>
      <c r="D1" s="3" t="s">
        <v>17</v>
      </c>
      <c r="E1" s="3" t="s">
        <v>2047</v>
      </c>
      <c r="F1" s="3" t="s">
        <v>2048</v>
      </c>
      <c r="G1" s="3" t="s">
        <v>2049</v>
      </c>
      <c r="H1" s="3" t="s">
        <v>2050</v>
      </c>
    </row>
    <row r="2" customFormat="false" ht="23.85" hidden="false" customHeight="false" outlineLevel="0" collapsed="false">
      <c r="A2" s="4" t="s">
        <v>2051</v>
      </c>
      <c r="B2" s="4" t="s">
        <v>2052</v>
      </c>
      <c r="C2" s="4" t="s">
        <v>2053</v>
      </c>
      <c r="D2" s="4" t="s">
        <v>55</v>
      </c>
      <c r="E2" s="4" t="s">
        <v>2054</v>
      </c>
      <c r="F2" s="4" t="s">
        <v>2055</v>
      </c>
      <c r="G2" s="4" t="s">
        <v>2056</v>
      </c>
      <c r="H2" s="4" t="s">
        <v>2057</v>
      </c>
    </row>
    <row r="3" customFormat="false" ht="15" hidden="false" customHeight="false" outlineLevel="0" collapsed="false">
      <c r="A3" s="4" t="s">
        <v>2051</v>
      </c>
      <c r="B3" s="4" t="s">
        <v>2058</v>
      </c>
      <c r="C3" s="4" t="s">
        <v>2059</v>
      </c>
      <c r="D3" s="4" t="s">
        <v>114</v>
      </c>
      <c r="E3" s="4" t="s">
        <v>2060</v>
      </c>
      <c r="F3" s="4" t="s">
        <v>2055</v>
      </c>
      <c r="G3" s="4" t="s">
        <v>2056</v>
      </c>
      <c r="H3" s="4" t="s">
        <v>2061</v>
      </c>
    </row>
    <row r="4" customFormat="false" ht="15" hidden="false" customHeight="false" outlineLevel="0" collapsed="false">
      <c r="A4" s="4" t="s">
        <v>2051</v>
      </c>
      <c r="B4" s="4" t="s">
        <v>2062</v>
      </c>
      <c r="C4" s="4" t="s">
        <v>2063</v>
      </c>
      <c r="D4" s="4" t="s">
        <v>114</v>
      </c>
      <c r="E4" s="4" t="s">
        <v>2064</v>
      </c>
      <c r="F4" s="4" t="s">
        <v>2055</v>
      </c>
      <c r="G4" s="4" t="s">
        <v>2056</v>
      </c>
      <c r="H4" s="4" t="s">
        <v>2065</v>
      </c>
    </row>
    <row r="5" customFormat="false" ht="15" hidden="false" customHeight="false" outlineLevel="0" collapsed="false">
      <c r="A5" s="4" t="s">
        <v>2051</v>
      </c>
      <c r="B5" s="4" t="s">
        <v>2066</v>
      </c>
      <c r="C5" s="4" t="s">
        <v>2067</v>
      </c>
      <c r="D5" s="4" t="s">
        <v>114</v>
      </c>
      <c r="E5" s="4" t="s">
        <v>2068</v>
      </c>
      <c r="F5" s="4" t="s">
        <v>2055</v>
      </c>
      <c r="G5" s="4" t="s">
        <v>2056</v>
      </c>
      <c r="H5" s="4" t="s">
        <v>2069</v>
      </c>
    </row>
    <row r="6" customFormat="false" ht="23.85" hidden="false" customHeight="false" outlineLevel="0" collapsed="false">
      <c r="A6" s="4" t="s">
        <v>2051</v>
      </c>
      <c r="B6" s="4" t="s">
        <v>2070</v>
      </c>
      <c r="C6" s="4" t="s">
        <v>2071</v>
      </c>
      <c r="D6" s="4" t="s">
        <v>114</v>
      </c>
      <c r="E6" s="4" t="s">
        <v>2072</v>
      </c>
      <c r="F6" s="4" t="s">
        <v>2055</v>
      </c>
      <c r="G6" s="4" t="s">
        <v>2056</v>
      </c>
      <c r="H6" s="4" t="s">
        <v>2073</v>
      </c>
    </row>
    <row r="7" customFormat="false" ht="91" hidden="false" customHeight="false" outlineLevel="0" collapsed="false">
      <c r="A7" s="4" t="s">
        <v>2051</v>
      </c>
      <c r="B7" s="4" t="s">
        <v>2074</v>
      </c>
      <c r="C7" s="4" t="s">
        <v>2075</v>
      </c>
      <c r="D7" s="4" t="s">
        <v>114</v>
      </c>
      <c r="E7" s="4" t="s">
        <v>2076</v>
      </c>
      <c r="F7" s="4" t="s">
        <v>2055</v>
      </c>
      <c r="G7" s="4" t="s">
        <v>2056</v>
      </c>
      <c r="H7" s="4" t="s">
        <v>2077</v>
      </c>
    </row>
    <row r="8" customFormat="false" ht="23.85" hidden="false" customHeight="false" outlineLevel="0" collapsed="false">
      <c r="A8" s="4" t="s">
        <v>2051</v>
      </c>
      <c r="B8" s="4" t="s">
        <v>2078</v>
      </c>
      <c r="C8" s="4" t="s">
        <v>2079</v>
      </c>
      <c r="D8" s="4" t="s">
        <v>114</v>
      </c>
      <c r="E8" s="4" t="s">
        <v>2080</v>
      </c>
      <c r="F8" s="4" t="s">
        <v>2055</v>
      </c>
      <c r="G8" s="4" t="s">
        <v>2056</v>
      </c>
      <c r="H8" s="4" t="s">
        <v>2081</v>
      </c>
    </row>
    <row r="9" customFormat="false" ht="23.85" hidden="false" customHeight="false" outlineLevel="0" collapsed="false">
      <c r="A9" s="4" t="s">
        <v>2051</v>
      </c>
      <c r="B9" s="4" t="s">
        <v>2082</v>
      </c>
      <c r="C9" s="4" t="s">
        <v>2083</v>
      </c>
      <c r="D9" s="4" t="s">
        <v>1623</v>
      </c>
      <c r="E9" s="4" t="s">
        <v>2084</v>
      </c>
      <c r="F9" s="4" t="s">
        <v>2085</v>
      </c>
      <c r="G9" s="4" t="s">
        <v>2086</v>
      </c>
      <c r="H9" s="4" t="s">
        <v>2087</v>
      </c>
    </row>
    <row r="10" customFormat="false" ht="23.85" hidden="false" customHeight="false" outlineLevel="0" collapsed="false">
      <c r="A10" s="4" t="s">
        <v>2088</v>
      </c>
      <c r="B10" s="4" t="s">
        <v>2089</v>
      </c>
      <c r="C10" s="4" t="s">
        <v>2090</v>
      </c>
      <c r="D10" s="4" t="s">
        <v>31</v>
      </c>
      <c r="E10" s="4" t="s">
        <v>2080</v>
      </c>
      <c r="F10" s="4" t="s">
        <v>2091</v>
      </c>
      <c r="G10" s="4" t="s">
        <v>2092</v>
      </c>
      <c r="H10" s="4" t="s">
        <v>2093</v>
      </c>
    </row>
    <row r="11" customFormat="false" ht="15" hidden="false" customHeight="false" outlineLevel="0" collapsed="false">
      <c r="A11" s="4" t="s">
        <v>2088</v>
      </c>
      <c r="B11" s="4" t="s">
        <v>2094</v>
      </c>
      <c r="C11" s="4" t="s">
        <v>2095</v>
      </c>
      <c r="D11" s="4" t="s">
        <v>31</v>
      </c>
      <c r="E11" s="4" t="s">
        <v>2060</v>
      </c>
      <c r="F11" s="4" t="s">
        <v>2085</v>
      </c>
      <c r="G11" s="4" t="s">
        <v>2092</v>
      </c>
      <c r="H11" s="4" t="s">
        <v>2096</v>
      </c>
    </row>
    <row r="12" customFormat="false" ht="23.85" hidden="false" customHeight="false" outlineLevel="0" collapsed="false">
      <c r="A12" s="4" t="s">
        <v>2088</v>
      </c>
      <c r="B12" s="4" t="s">
        <v>117</v>
      </c>
      <c r="C12" s="4" t="s">
        <v>118</v>
      </c>
      <c r="D12" s="4" t="s">
        <v>119</v>
      </c>
      <c r="E12" s="4" t="s">
        <v>2097</v>
      </c>
      <c r="F12" s="4" t="s">
        <v>2098</v>
      </c>
      <c r="G12" s="4" t="s">
        <v>2099</v>
      </c>
      <c r="H12" s="4" t="s">
        <v>2100</v>
      </c>
    </row>
    <row r="13" customFormat="false" ht="15" hidden="false" customHeight="false" outlineLevel="0" collapsed="false">
      <c r="A13" s="4" t="s">
        <v>2088</v>
      </c>
      <c r="B13" s="4" t="s">
        <v>1009</v>
      </c>
      <c r="C13" s="4" t="s">
        <v>1010</v>
      </c>
      <c r="D13" s="4" t="s">
        <v>55</v>
      </c>
      <c r="E13" s="4" t="s">
        <v>2101</v>
      </c>
      <c r="F13" s="4" t="s">
        <v>2102</v>
      </c>
      <c r="G13" s="4" t="s">
        <v>964</v>
      </c>
      <c r="H13" s="4" t="s">
        <v>2103</v>
      </c>
    </row>
    <row r="14" customFormat="false" ht="15" hidden="false" customHeight="false" outlineLevel="0" collapsed="false">
      <c r="A14" s="4" t="s">
        <v>2088</v>
      </c>
      <c r="B14" s="4" t="s">
        <v>1031</v>
      </c>
      <c r="C14" s="4" t="s">
        <v>1032</v>
      </c>
      <c r="D14" s="4" t="s">
        <v>119</v>
      </c>
      <c r="E14" s="4" t="s">
        <v>2104</v>
      </c>
      <c r="F14" s="4" t="s">
        <v>2105</v>
      </c>
      <c r="G14" s="4" t="s">
        <v>1029</v>
      </c>
      <c r="H14" s="4" t="s">
        <v>2106</v>
      </c>
    </row>
    <row r="15" customFormat="false" ht="15" hidden="false" customHeight="false" outlineLevel="0" collapsed="false">
      <c r="A15" s="4" t="s">
        <v>2088</v>
      </c>
      <c r="B15" s="4" t="s">
        <v>1035</v>
      </c>
      <c r="C15" s="4" t="s">
        <v>1036</v>
      </c>
      <c r="D15" s="4" t="s">
        <v>119</v>
      </c>
      <c r="E15" s="4" t="s">
        <v>2107</v>
      </c>
      <c r="F15" s="4" t="s">
        <v>2108</v>
      </c>
      <c r="G15" s="4" t="s">
        <v>1029</v>
      </c>
      <c r="H15" s="4" t="s">
        <v>2106</v>
      </c>
    </row>
    <row r="16" customFormat="false" ht="15" hidden="false" customHeight="false" outlineLevel="0" collapsed="false">
      <c r="A16" s="4" t="s">
        <v>2088</v>
      </c>
      <c r="B16" s="4" t="s">
        <v>1183</v>
      </c>
      <c r="C16" s="4" t="s">
        <v>1184</v>
      </c>
      <c r="D16" s="4" t="s">
        <v>119</v>
      </c>
      <c r="E16" s="4" t="s">
        <v>2109</v>
      </c>
      <c r="F16" s="4" t="s">
        <v>2110</v>
      </c>
      <c r="G16" s="4" t="s">
        <v>1181</v>
      </c>
      <c r="H16" s="4" t="s">
        <v>2111</v>
      </c>
    </row>
    <row r="17" customFormat="false" ht="15" hidden="false" customHeight="false" outlineLevel="0" collapsed="false">
      <c r="A17" s="4" t="s">
        <v>2088</v>
      </c>
      <c r="B17" s="4" t="s">
        <v>1213</v>
      </c>
      <c r="C17" s="4" t="s">
        <v>1214</v>
      </c>
      <c r="D17" s="4" t="s">
        <v>114</v>
      </c>
      <c r="E17" s="4" t="s">
        <v>2097</v>
      </c>
      <c r="F17" s="4" t="s">
        <v>2112</v>
      </c>
      <c r="G17" s="4" t="s">
        <v>1181</v>
      </c>
      <c r="H17" s="4" t="s">
        <v>2113</v>
      </c>
    </row>
    <row r="18" customFormat="false" ht="23.85" hidden="false" customHeight="false" outlineLevel="0" collapsed="false">
      <c r="A18" s="4" t="s">
        <v>2088</v>
      </c>
      <c r="B18" s="4" t="s">
        <v>276</v>
      </c>
      <c r="C18" s="4" t="s">
        <v>277</v>
      </c>
      <c r="D18" s="4" t="s">
        <v>31</v>
      </c>
      <c r="E18" s="4" t="s">
        <v>2060</v>
      </c>
      <c r="F18" s="4" t="s">
        <v>2114</v>
      </c>
      <c r="G18" s="4" t="s">
        <v>255</v>
      </c>
      <c r="H18" s="4" t="s">
        <v>2115</v>
      </c>
    </row>
    <row r="19" customFormat="false" ht="23.85" hidden="false" customHeight="false" outlineLevel="0" collapsed="false">
      <c r="A19" s="4" t="s">
        <v>2088</v>
      </c>
      <c r="B19" s="4" t="s">
        <v>2116</v>
      </c>
      <c r="C19" s="4" t="s">
        <v>2117</v>
      </c>
      <c r="D19" s="4" t="s">
        <v>55</v>
      </c>
      <c r="E19" s="4" t="s">
        <v>2060</v>
      </c>
      <c r="F19" s="4" t="s">
        <v>2118</v>
      </c>
      <c r="G19" s="4" t="s">
        <v>2092</v>
      </c>
      <c r="H19" s="4" t="s">
        <v>2119</v>
      </c>
    </row>
    <row r="20" customFormat="false" ht="23.85" hidden="false" customHeight="false" outlineLevel="0" collapsed="false">
      <c r="A20" s="4" t="s">
        <v>2088</v>
      </c>
      <c r="B20" s="4" t="s">
        <v>2120</v>
      </c>
      <c r="C20" s="4" t="s">
        <v>2121</v>
      </c>
      <c r="D20" s="4" t="s">
        <v>31</v>
      </c>
      <c r="E20" s="4" t="s">
        <v>2060</v>
      </c>
      <c r="F20" s="4" t="s">
        <v>2122</v>
      </c>
      <c r="G20" s="4" t="s">
        <v>2092</v>
      </c>
      <c r="H20" s="4" t="s">
        <v>2123</v>
      </c>
    </row>
    <row r="21" customFormat="false" ht="15" hidden="false" customHeight="false" outlineLevel="0" collapsed="false">
      <c r="A21" s="4" t="s">
        <v>2088</v>
      </c>
      <c r="B21" s="4" t="s">
        <v>204</v>
      </c>
      <c r="C21" s="4" t="s">
        <v>205</v>
      </c>
      <c r="D21" s="4" t="s">
        <v>55</v>
      </c>
      <c r="E21" s="4" t="s">
        <v>2124</v>
      </c>
      <c r="F21" s="4" t="s">
        <v>2085</v>
      </c>
      <c r="G21" s="4" t="s">
        <v>2125</v>
      </c>
      <c r="H21" s="4" t="s">
        <v>2126</v>
      </c>
    </row>
    <row r="22" customFormat="false" ht="23.85" hidden="false" customHeight="false" outlineLevel="0" collapsed="false">
      <c r="A22" s="4" t="s">
        <v>2088</v>
      </c>
      <c r="B22" s="4" t="s">
        <v>457</v>
      </c>
      <c r="C22" s="4" t="s">
        <v>458</v>
      </c>
      <c r="D22" s="4" t="s">
        <v>55</v>
      </c>
      <c r="E22" s="4" t="s">
        <v>2127</v>
      </c>
      <c r="F22" s="4" t="s">
        <v>2128</v>
      </c>
      <c r="G22" s="4" t="s">
        <v>2129</v>
      </c>
      <c r="H22" s="4" t="s">
        <v>2130</v>
      </c>
    </row>
    <row r="23" customFormat="false" ht="23.85" hidden="false" customHeight="false" outlineLevel="0" collapsed="false">
      <c r="A23" s="4" t="s">
        <v>2088</v>
      </c>
      <c r="B23" s="4" t="s">
        <v>448</v>
      </c>
      <c r="C23" s="4" t="s">
        <v>449</v>
      </c>
      <c r="D23" s="4" t="s">
        <v>55</v>
      </c>
      <c r="E23" s="4" t="s">
        <v>2127</v>
      </c>
      <c r="F23" s="4" t="s">
        <v>2085</v>
      </c>
      <c r="G23" s="4" t="s">
        <v>2129</v>
      </c>
      <c r="H23" s="4" t="s">
        <v>2131</v>
      </c>
    </row>
    <row r="24" customFormat="false" ht="15" hidden="false" customHeight="false" outlineLevel="0" collapsed="false">
      <c r="A24" s="4" t="s">
        <v>2088</v>
      </c>
      <c r="B24" s="4" t="s">
        <v>464</v>
      </c>
      <c r="C24" s="4" t="s">
        <v>465</v>
      </c>
      <c r="D24" s="4" t="s">
        <v>55</v>
      </c>
      <c r="E24" s="4" t="s">
        <v>2132</v>
      </c>
      <c r="F24" s="4" t="s">
        <v>2085</v>
      </c>
      <c r="G24" s="4" t="s">
        <v>431</v>
      </c>
      <c r="H24" s="4" t="s">
        <v>2131</v>
      </c>
    </row>
    <row r="25" customFormat="false" ht="15" hidden="false" customHeight="false" outlineLevel="0" collapsed="false">
      <c r="A25" s="4" t="s">
        <v>2088</v>
      </c>
      <c r="B25" s="4" t="s">
        <v>666</v>
      </c>
      <c r="C25" s="4" t="s">
        <v>667</v>
      </c>
      <c r="D25" s="4" t="s">
        <v>55</v>
      </c>
      <c r="E25" s="4" t="s">
        <v>2133</v>
      </c>
      <c r="F25" s="4" t="s">
        <v>2085</v>
      </c>
      <c r="G25" s="4" t="s">
        <v>641</v>
      </c>
      <c r="H25" s="4" t="s">
        <v>2134</v>
      </c>
    </row>
    <row r="26" customFormat="false" ht="15" hidden="false" customHeight="false" outlineLevel="0" collapsed="false">
      <c r="A26" s="4" t="s">
        <v>2088</v>
      </c>
      <c r="B26" s="4" t="s">
        <v>1389</v>
      </c>
      <c r="C26" s="4" t="s">
        <v>1390</v>
      </c>
      <c r="D26" s="4" t="s">
        <v>55</v>
      </c>
      <c r="E26" s="4" t="s">
        <v>2135</v>
      </c>
      <c r="F26" s="4" t="s">
        <v>2085</v>
      </c>
      <c r="G26" s="4" t="s">
        <v>1388</v>
      </c>
      <c r="H26" s="4" t="s">
        <v>2136</v>
      </c>
    </row>
    <row r="27" customFormat="false" ht="23.85" hidden="false" customHeight="false" outlineLevel="0" collapsed="false">
      <c r="A27" s="4" t="s">
        <v>2088</v>
      </c>
      <c r="B27" s="4" t="s">
        <v>569</v>
      </c>
      <c r="C27" s="4" t="s">
        <v>570</v>
      </c>
      <c r="D27" s="4" t="s">
        <v>55</v>
      </c>
      <c r="E27" s="4" t="s">
        <v>2137</v>
      </c>
      <c r="F27" s="4" t="s">
        <v>2138</v>
      </c>
      <c r="G27" s="4" t="s">
        <v>2001</v>
      </c>
      <c r="H27" s="4" t="s">
        <v>2139</v>
      </c>
    </row>
    <row r="28" customFormat="false" ht="23.85" hidden="false" customHeight="false" outlineLevel="0" collapsed="false">
      <c r="A28" s="4" t="s">
        <v>2088</v>
      </c>
      <c r="B28" s="4" t="s">
        <v>860</v>
      </c>
      <c r="C28" s="4" t="s">
        <v>861</v>
      </c>
      <c r="D28" s="4" t="s">
        <v>55</v>
      </c>
      <c r="E28" s="4" t="s">
        <v>2140</v>
      </c>
      <c r="F28" s="4" t="s">
        <v>2141</v>
      </c>
      <c r="G28" s="4" t="s">
        <v>858</v>
      </c>
      <c r="H28" s="4" t="s">
        <v>2142</v>
      </c>
    </row>
    <row r="29" customFormat="false" ht="15" hidden="false" customHeight="false" outlineLevel="0" collapsed="false">
      <c r="A29" s="4" t="s">
        <v>2088</v>
      </c>
      <c r="B29" s="4" t="s">
        <v>2143</v>
      </c>
      <c r="C29" s="4" t="s">
        <v>2144</v>
      </c>
      <c r="D29" s="4" t="s">
        <v>119</v>
      </c>
      <c r="E29" s="4" t="s">
        <v>2145</v>
      </c>
      <c r="F29" s="4" t="s">
        <v>2112</v>
      </c>
      <c r="G29" s="4" t="s">
        <v>2092</v>
      </c>
      <c r="H29" s="4" t="s">
        <v>2146</v>
      </c>
    </row>
    <row r="30" customFormat="false" ht="35.05" hidden="false" customHeight="false" outlineLevel="0" collapsed="false">
      <c r="A30" s="4" t="s">
        <v>2088</v>
      </c>
      <c r="B30" s="4" t="s">
        <v>2147</v>
      </c>
      <c r="C30" s="4" t="s">
        <v>2148</v>
      </c>
      <c r="D30" s="4" t="s">
        <v>55</v>
      </c>
      <c r="E30" s="4" t="s">
        <v>2060</v>
      </c>
      <c r="F30" s="4" t="s">
        <v>2149</v>
      </c>
      <c r="G30" s="4" t="s">
        <v>2092</v>
      </c>
      <c r="H30" s="4" t="s">
        <v>2150</v>
      </c>
    </row>
    <row r="31" customFormat="false" ht="15" hidden="false" customHeight="false" outlineLevel="0" collapsed="false">
      <c r="A31" s="4" t="s">
        <v>2088</v>
      </c>
      <c r="B31" s="4" t="s">
        <v>2151</v>
      </c>
      <c r="C31" s="4" t="s">
        <v>2152</v>
      </c>
      <c r="D31" s="4" t="s">
        <v>55</v>
      </c>
      <c r="E31" s="4" t="s">
        <v>2153</v>
      </c>
      <c r="F31" s="4" t="s">
        <v>2154</v>
      </c>
      <c r="G31" s="4" t="s">
        <v>2092</v>
      </c>
      <c r="H31" s="4" t="s">
        <v>2155</v>
      </c>
    </row>
    <row r="32" customFormat="false" ht="15" hidden="false" customHeight="false" outlineLevel="0" collapsed="false">
      <c r="A32" s="4" t="s">
        <v>2156</v>
      </c>
      <c r="B32" s="4" t="s">
        <v>2157</v>
      </c>
      <c r="C32" s="4" t="s">
        <v>2158</v>
      </c>
      <c r="D32" s="4" t="s">
        <v>55</v>
      </c>
      <c r="E32" s="4" t="s">
        <v>2060</v>
      </c>
      <c r="F32" s="4" t="s">
        <v>2085</v>
      </c>
      <c r="G32" s="4" t="s">
        <v>2092</v>
      </c>
      <c r="H32" s="4" t="s">
        <v>2159</v>
      </c>
    </row>
    <row r="33" customFormat="false" ht="15" hidden="false" customHeight="false" outlineLevel="0" collapsed="false">
      <c r="A33" s="4" t="s">
        <v>2156</v>
      </c>
      <c r="B33" s="4" t="s">
        <v>2160</v>
      </c>
      <c r="C33" s="4" t="s">
        <v>2161</v>
      </c>
      <c r="D33" s="4" t="s">
        <v>41</v>
      </c>
      <c r="E33" s="4" t="s">
        <v>2162</v>
      </c>
      <c r="F33" s="4" t="s">
        <v>2085</v>
      </c>
      <c r="G33" s="4" t="s">
        <v>2092</v>
      </c>
      <c r="H33" s="4" t="s">
        <v>2163</v>
      </c>
    </row>
    <row r="34" customFormat="false" ht="23.85" hidden="false" customHeight="false" outlineLevel="0" collapsed="false">
      <c r="A34" s="4" t="s">
        <v>2156</v>
      </c>
      <c r="B34" s="4" t="s">
        <v>2164</v>
      </c>
      <c r="C34" s="4" t="s">
        <v>2165</v>
      </c>
      <c r="D34" s="4" t="s">
        <v>41</v>
      </c>
      <c r="E34" s="4" t="s">
        <v>2133</v>
      </c>
      <c r="F34" s="4" t="s">
        <v>2166</v>
      </c>
      <c r="G34" s="4" t="s">
        <v>2092</v>
      </c>
      <c r="H34" s="4" t="s">
        <v>2163</v>
      </c>
    </row>
    <row r="35" customFormat="false" ht="15" hidden="false" customHeight="false" outlineLevel="0" collapsed="false">
      <c r="A35" s="4" t="s">
        <v>2156</v>
      </c>
      <c r="B35" s="4" t="s">
        <v>2167</v>
      </c>
      <c r="C35" s="4" t="s">
        <v>2168</v>
      </c>
      <c r="D35" s="4" t="s">
        <v>41</v>
      </c>
      <c r="E35" s="4" t="s">
        <v>2162</v>
      </c>
      <c r="F35" s="4" t="s">
        <v>2085</v>
      </c>
      <c r="G35" s="4" t="s">
        <v>2092</v>
      </c>
      <c r="H35" s="4" t="s">
        <v>2163</v>
      </c>
    </row>
    <row r="36" customFormat="false" ht="15" hidden="false" customHeight="false" outlineLevel="0" collapsed="false">
      <c r="A36" s="4" t="s">
        <v>2156</v>
      </c>
      <c r="B36" s="4" t="s">
        <v>2169</v>
      </c>
      <c r="C36" s="4" t="s">
        <v>2170</v>
      </c>
      <c r="D36" s="4" t="s">
        <v>41</v>
      </c>
      <c r="E36" s="4" t="s">
        <v>2162</v>
      </c>
      <c r="F36" s="4" t="s">
        <v>2085</v>
      </c>
      <c r="G36" s="4" t="s">
        <v>2092</v>
      </c>
      <c r="H36" s="4" t="s">
        <v>2163</v>
      </c>
    </row>
    <row r="37" customFormat="false" ht="23.85" hidden="false" customHeight="false" outlineLevel="0" collapsed="false">
      <c r="A37" s="4" t="s">
        <v>2171</v>
      </c>
      <c r="B37" s="4" t="s">
        <v>307</v>
      </c>
      <c r="C37" s="4" t="s">
        <v>2172</v>
      </c>
      <c r="D37" s="4" t="s">
        <v>55</v>
      </c>
      <c r="E37" s="4" t="s">
        <v>2097</v>
      </c>
      <c r="F37" s="4"/>
      <c r="G37" s="4"/>
      <c r="H37" s="4" t="s">
        <v>2173</v>
      </c>
    </row>
    <row r="38" customFormat="false" ht="23.85" hidden="false" customHeight="false" outlineLevel="0" collapsed="false">
      <c r="A38" s="4" t="s">
        <v>2171</v>
      </c>
      <c r="B38" s="4" t="s">
        <v>307</v>
      </c>
      <c r="C38" s="4" t="s">
        <v>2174</v>
      </c>
      <c r="D38" s="4" t="s">
        <v>55</v>
      </c>
      <c r="E38" s="4" t="s">
        <v>2060</v>
      </c>
      <c r="F38" s="4"/>
      <c r="G38" s="4"/>
      <c r="H38" s="4" t="s">
        <v>2175</v>
      </c>
    </row>
    <row r="39" customFormat="false" ht="23.85" hidden="false" customHeight="false" outlineLevel="0" collapsed="false">
      <c r="A39" s="4" t="s">
        <v>2176</v>
      </c>
      <c r="B39" s="4" t="s">
        <v>307</v>
      </c>
      <c r="C39" s="4" t="s">
        <v>2177</v>
      </c>
      <c r="D39" s="4" t="s">
        <v>55</v>
      </c>
      <c r="E39" s="4" t="s">
        <v>2178</v>
      </c>
      <c r="F39" s="4"/>
      <c r="G39" s="4"/>
      <c r="H39" s="4" t="s">
        <v>2179</v>
      </c>
    </row>
    <row r="40" customFormat="false" ht="15" hidden="false" customHeight="false" outlineLevel="0" collapsed="false">
      <c r="A40" s="4" t="s">
        <v>2180</v>
      </c>
      <c r="B40" s="4" t="s">
        <v>307</v>
      </c>
      <c r="C40" s="4" t="s">
        <v>2181</v>
      </c>
      <c r="D40" s="4" t="s">
        <v>2182</v>
      </c>
      <c r="E40" s="4" t="s">
        <v>2183</v>
      </c>
      <c r="F40" s="4"/>
      <c r="G40" s="4"/>
      <c r="H40" s="4" t="s">
        <v>2184</v>
      </c>
    </row>
    <row r="41" customFormat="false" ht="15" hidden="false" customHeight="false" outlineLevel="0" collapsed="false">
      <c r="A41" s="4" t="s">
        <v>2180</v>
      </c>
      <c r="B41" s="4" t="s">
        <v>307</v>
      </c>
      <c r="C41" s="4" t="s">
        <v>2185</v>
      </c>
      <c r="D41" s="4" t="s">
        <v>2182</v>
      </c>
      <c r="E41" s="4" t="s">
        <v>2186</v>
      </c>
      <c r="F41" s="4"/>
      <c r="G41" s="4"/>
      <c r="H41" s="4" t="s">
        <v>2187</v>
      </c>
    </row>
    <row r="42" customFormat="false" ht="23.85" hidden="false" customHeight="false" outlineLevel="0" collapsed="false">
      <c r="A42" s="4" t="s">
        <v>2188</v>
      </c>
      <c r="B42" s="4"/>
      <c r="C42" s="4" t="s">
        <v>41</v>
      </c>
      <c r="D42" s="4" t="s">
        <v>2182</v>
      </c>
      <c r="E42" s="4" t="s">
        <v>2182</v>
      </c>
      <c r="F42" s="4"/>
      <c r="G42" s="4"/>
      <c r="H42" s="4" t="s">
        <v>2189</v>
      </c>
    </row>
  </sheetData>
  <autoFilter ref="A1:H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2026-10-15T12:16:18Z</dcterms:created>
  <dc:creator>openpyxl</dc:creator>
  <dc:description/>
  <dc:language>en-US</dc:language>
  <cp:lastModifiedBy/>
  <dcterms:modified xsi:type="dcterms:W3CDTF">2026-10-15T12:16:18Z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